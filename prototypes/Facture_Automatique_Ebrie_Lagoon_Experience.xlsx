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83efc67b0693d36/Ebrié Lagoon Experience/"/>
    </mc:Choice>
  </mc:AlternateContent>
  <xr:revisionPtr revIDLastSave="3" documentId="11_FB9E97A8188972DD03B83BCBBED77958E65DD780" xr6:coauthVersionLast="47" xr6:coauthVersionMax="47" xr10:uidLastSave="{29B5E95E-0919-48B6-92CA-EAE350A8F5AE}"/>
  <bookViews>
    <workbookView xWindow="-120" yWindow="-120" windowWidth="29040" windowHeight="15720" activeTab="2" xr2:uid="{00000000-000D-0000-FFFF-FFFF00000000}"/>
  </bookViews>
  <sheets>
    <sheet name="Facture automatique" sheetId="1" r:id="rId1"/>
    <sheet name="Tarifs" sheetId="2" r:id="rId2"/>
    <sheet name="Suivi factures" sheetId="3" r:id="rId3"/>
    <sheet name="Mode d'emplo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C4" i="3"/>
  <c r="B4" i="3"/>
  <c r="A4" i="3"/>
  <c r="E35" i="1"/>
  <c r="E37" i="1" s="1"/>
  <c r="H4" i="3" s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D11" i="1"/>
  <c r="E30" i="1" s="1"/>
  <c r="E29" i="1" l="1"/>
  <c r="E31" i="1" s="1"/>
  <c r="F4" i="3"/>
  <c r="E36" i="1" l="1"/>
  <c r="G4" i="3" s="1"/>
  <c r="E4" i="3"/>
</calcChain>
</file>

<file path=xl/sharedStrings.xml><?xml version="1.0" encoding="utf-8"?>
<sst xmlns="http://schemas.openxmlformats.org/spreadsheetml/2006/main" count="161" uniqueCount="99">
  <si>
    <t>EBRIÉ LAGOON EXPERIENCE</t>
  </si>
  <si>
    <t>Expériences • Émotions • Souvenirs</t>
  </si>
  <si>
    <t>INFORMATIONS CLIENT &amp; FACTURE</t>
  </si>
  <si>
    <t>N° Facture</t>
  </si>
  <si>
    <t>FAC-EL-001</t>
  </si>
  <si>
    <t>Date facture</t>
  </si>
  <si>
    <t>JJ/MM/AAAA</t>
  </si>
  <si>
    <t>Échéance</t>
  </si>
  <si>
    <t>Avant prestation</t>
  </si>
  <si>
    <t>Client</t>
  </si>
  <si>
    <t>[Nom client]</t>
  </si>
  <si>
    <t>Téléphone</t>
  </si>
  <si>
    <t>[Téléphone]</t>
  </si>
  <si>
    <t>Email</t>
  </si>
  <si>
    <t>[Email]</t>
  </si>
  <si>
    <t>Date prestation</t>
  </si>
  <si>
    <t>[Date]</t>
  </si>
  <si>
    <t>Heure</t>
  </si>
  <si>
    <t>[Heure]</t>
  </si>
  <si>
    <t>Lieu embarquement</t>
  </si>
  <si>
    <t>[Lieu]</t>
  </si>
  <si>
    <t>PACK PRINCIPAL</t>
  </si>
  <si>
    <t>Demande en mariage Premium</t>
  </si>
  <si>
    <t>Prix pack</t>
  </si>
  <si>
    <t>DÉTAIL DES PRESTATIONS &amp; CALCUL AUTOMATIQUE</t>
  </si>
  <si>
    <t>N°</t>
  </si>
  <si>
    <t>Désignation</t>
  </si>
  <si>
    <t>Quantité</t>
  </si>
  <si>
    <t>Prix unitaire</t>
  </si>
  <si>
    <t>Total</t>
  </si>
  <si>
    <t>Type</t>
  </si>
  <si>
    <t>Observation</t>
  </si>
  <si>
    <t>Facturable ?</t>
  </si>
  <si>
    <t>Option</t>
  </si>
  <si>
    <t>Oui</t>
  </si>
  <si>
    <t>Sous-total prestations</t>
  </si>
  <si>
    <t>Pack principal</t>
  </si>
  <si>
    <t>TOTAL FACTURE</t>
  </si>
  <si>
    <t>Acompte reçu</t>
  </si>
  <si>
    <t>Solde reçu</t>
  </si>
  <si>
    <t>Total payé</t>
  </si>
  <si>
    <t>Reste à payer</t>
  </si>
  <si>
    <t>Statut</t>
  </si>
  <si>
    <t>MENTIONS &amp; CONDITIONS</t>
  </si>
  <si>
    <t>Facture établie conformément à la prestation validée. Le solde doit être réglé avant embarquement. En cas d’annulation à moins de 72 heures, l’acompte reste acquis. La prestation peut être reportée en cas de météo défavorable ou de contrainte de sécurité.</t>
  </si>
  <si>
    <t>Signature Client</t>
  </si>
  <si>
    <t>Signature Prestataire</t>
  </si>
  <si>
    <t>EBRIÉ LAGOON EXPERIENCE – TABLE DES TARIFS</t>
  </si>
  <si>
    <t>Liste Packs</t>
  </si>
  <si>
    <t>Liste Options</t>
  </si>
  <si>
    <t>Décoration romantique</t>
  </si>
  <si>
    <t>Prix unitaire (FCFA)</t>
  </si>
  <si>
    <t>Observations</t>
  </si>
  <si>
    <t>Anniversaire Premium</t>
  </si>
  <si>
    <t>Décoration luxe complète</t>
  </si>
  <si>
    <t>PACK</t>
  </si>
  <si>
    <t>Bateau privatisé, musique douce, boissons classiques</t>
  </si>
  <si>
    <t>Corporate Premium</t>
  </si>
  <si>
    <t>Photographe</t>
  </si>
  <si>
    <t>Bateau privatisé, décoration standard, playlist, boissons</t>
  </si>
  <si>
    <t>Vidéaste</t>
  </si>
  <si>
    <t>Bateau privatisé, coordination, animation légère</t>
  </si>
  <si>
    <t>DJ professionnel</t>
  </si>
  <si>
    <t>OPTION</t>
  </si>
  <si>
    <t>Fleurs, bougies, mise en scène simple</t>
  </si>
  <si>
    <t>Gâteau personnalisé</t>
  </si>
  <si>
    <t>Fleurs naturelles, LED, scénographie</t>
  </si>
  <si>
    <t>Dîner romantique</t>
  </si>
  <si>
    <t>Couverture photo de l’événement</t>
  </si>
  <si>
    <t>Cocktail dînatoire</t>
  </si>
  <si>
    <t>Captation + montage souvenir</t>
  </si>
  <si>
    <t>Message personnalisé</t>
  </si>
  <si>
    <t>Animation musicale</t>
  </si>
  <si>
    <t>Mise en scène personnalisée</t>
  </si>
  <si>
    <t>Selon thème choisi</t>
  </si>
  <si>
    <t>Boissons premium</t>
  </si>
  <si>
    <t>Menu sélectionné à bord</t>
  </si>
  <si>
    <t>Branding corporate</t>
  </si>
  <si>
    <t>Pièces salées/sucrées + boissons</t>
  </si>
  <si>
    <t>Service traiteur corporate</t>
  </si>
  <si>
    <t>Bannière ou support visuel</t>
  </si>
  <si>
    <t>Animation spéciale / MC</t>
  </si>
  <si>
    <t>Scénario surprise coordonné</t>
  </si>
  <si>
    <t>Vin / champagne / softs selon formule</t>
  </si>
  <si>
    <t>Logo, couleurs, signalétique événement</t>
  </si>
  <si>
    <t>Cocktail / repas entreprise</t>
  </si>
  <si>
    <t>Animation événementielle</t>
  </si>
  <si>
    <t>REGISTRE DE SUIVI DES FACTURES</t>
  </si>
  <si>
    <t>Date</t>
  </si>
  <si>
    <t>Pack</t>
  </si>
  <si>
    <t>Total facture</t>
  </si>
  <si>
    <t>MODE D’EMPLOI – FACTURE AUTOMATIQUE</t>
  </si>
  <si>
    <t>1. Dans l’onglet « Facture automatique », cliquez sur B11 pour choisir le pack principal.</t>
  </si>
  <si>
    <t>2. Cliquez en colonne B du détail pour choisir une prestation ou une option.</t>
  </si>
  <si>
    <t>3. Saisissez les quantités en colonne C.</t>
  </si>
  <si>
    <t>4. Saisissez les montants encaissés en E33 et E34.</t>
  </si>
  <si>
    <t>5. Le total, le reste à payer et le statut se calculent automatiquement.</t>
  </si>
  <si>
    <t>6. L’onglet « Tarifs » permet de modifier les prix.</t>
  </si>
  <si>
    <t>7. L’onglet « Suivi factures » reprend la facture courante.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</si>
</sst>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FCFA&quot;;[Red]\(#,##0\)\ &quot;FCFA&quot;;\-"/>
  </numFmts>
  <fonts count="12">
    <font>
      <sz val="11"/>
      <name val="Carlito"/>
    </font>
    <font>
      <b/>
      <sz val="11"/>
      <color rgb="FFFFFFFF"/>
      <name val="Carlito"/>
    </font>
    <font>
      <b/>
      <sz val="13"/>
      <color rgb="FFC9A227"/>
      <name val="Carlito"/>
    </font>
    <font>
      <i/>
      <sz val="10"/>
      <color rgb="FF666666"/>
      <name val="Carlito"/>
    </font>
    <font>
      <b/>
      <sz val="11"/>
      <color rgb="FF0B1E33"/>
      <name val="Carlito"/>
    </font>
    <font>
      <sz val="11"/>
      <color rgb="FF0000FF"/>
      <name val="Carlito"/>
    </font>
    <font>
      <b/>
      <sz val="11"/>
      <color rgb="FF0000FF"/>
      <name val="Carlito"/>
    </font>
    <font>
      <b/>
      <sz val="10"/>
      <color rgb="FF0B1E33"/>
      <name val="Aptos"/>
      <family val="2"/>
    </font>
    <font>
      <b/>
      <sz val="10"/>
      <color rgb="FFFFFFFF"/>
      <name val="Aptos"/>
      <family val="2"/>
    </font>
    <font>
      <sz val="10"/>
      <name val="Aptos"/>
      <family val="2"/>
    </font>
    <font>
      <b/>
      <sz val="18"/>
      <color rgb="FF0B1E33"/>
      <name val="Aptos"/>
      <family val="2"/>
    </font>
    <font>
      <b/>
      <sz val="14"/>
      <color rgb="FFFFFFFF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1" fillId="0" borderId="0" xfId="0" applyNumberFormat="1" applyFont="1"/>
    <xf numFmtId="0" fontId="8" fillId="0" borderId="0" xfId="0" applyFont="1"/>
    <xf numFmtId="0" fontId="9" fillId="0" borderId="0" xfId="0" applyFont="1"/>
    <xf numFmtId="0" fontId="1" fillId="0" borderId="0" xfId="0" applyFont="1"/>
    <xf numFmtId="0" fontId="0" fillId="0" borderId="0" xfId="0"/>
    <xf numFmtId="0" fontId="10" fillId="0" borderId="0" xfId="0" applyFont="1"/>
    <xf numFmtId="0" fontId="2" fillId="0" borderId="0" xfId="0" applyFont="1"/>
    <xf numFmtId="0" fontId="3" fillId="0" borderId="0" xfId="0" applyFont="1"/>
    <xf numFmtId="0" fontId="11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opLeftCell="A14" workbookViewId="0">
      <selection activeCell="A16" sqref="A16"/>
    </sheetView>
  </sheetViews>
  <sheetFormatPr baseColWidth="10" defaultColWidth="9" defaultRowHeight="14.25"/>
  <cols>
    <col min="1" max="1" width="16.5" bestFit="1" customWidth="1"/>
    <col min="2" max="2" width="34" customWidth="1"/>
    <col min="3" max="3" width="13" customWidth="1"/>
    <col min="4" max="6" width="18" customWidth="1"/>
    <col min="7" max="7" width="32" customWidth="1"/>
    <col min="8" max="8" width="14" customWidth="1"/>
  </cols>
  <sheetData>
    <row r="1" spans="1:8" ht="24">
      <c r="A1" s="11" t="s">
        <v>0</v>
      </c>
      <c r="B1" s="11"/>
      <c r="C1" s="11"/>
      <c r="D1" s="11"/>
      <c r="E1" s="11"/>
      <c r="F1" s="11"/>
      <c r="G1" s="11"/>
      <c r="H1" s="11"/>
    </row>
    <row r="2" spans="1:8" ht="16.5">
      <c r="A2" s="12"/>
      <c r="B2" s="12"/>
      <c r="C2" s="12"/>
      <c r="D2" s="12"/>
      <c r="E2" s="12"/>
      <c r="F2" s="12"/>
      <c r="G2" s="12"/>
      <c r="H2" s="12"/>
    </row>
    <row r="3" spans="1:8">
      <c r="A3" s="13" t="s">
        <v>1</v>
      </c>
      <c r="B3" s="13"/>
      <c r="C3" s="13"/>
      <c r="D3" s="13"/>
      <c r="E3" s="13"/>
      <c r="F3" s="13"/>
      <c r="G3" s="13"/>
      <c r="H3" s="13"/>
    </row>
    <row r="5" spans="1:8" ht="15">
      <c r="A5" s="9" t="s">
        <v>2</v>
      </c>
      <c r="B5" s="9"/>
      <c r="C5" s="9"/>
      <c r="D5" s="9"/>
      <c r="E5" s="9"/>
      <c r="F5" s="9"/>
      <c r="G5" s="9"/>
      <c r="H5" s="9"/>
    </row>
    <row r="7" spans="1:8" ht="15">
      <c r="A7" s="3" t="s">
        <v>3</v>
      </c>
      <c r="B7" s="4" t="s">
        <v>4</v>
      </c>
      <c r="C7" s="3" t="s">
        <v>5</v>
      </c>
      <c r="D7" s="4" t="s">
        <v>6</v>
      </c>
      <c r="E7" s="3" t="s">
        <v>7</v>
      </c>
      <c r="F7" s="4" t="s">
        <v>8</v>
      </c>
    </row>
    <row r="8" spans="1:8" ht="15">
      <c r="A8" s="3" t="s">
        <v>9</v>
      </c>
      <c r="B8" s="4" t="s">
        <v>10</v>
      </c>
      <c r="C8" s="3" t="s">
        <v>11</v>
      </c>
      <c r="D8" s="4" t="s">
        <v>12</v>
      </c>
      <c r="E8" s="3" t="s">
        <v>13</v>
      </c>
      <c r="F8" s="4" t="s">
        <v>14</v>
      </c>
    </row>
    <row r="9" spans="1:8" ht="15">
      <c r="A9" s="3" t="s">
        <v>15</v>
      </c>
      <c r="B9" s="4" t="s">
        <v>16</v>
      </c>
      <c r="C9" s="3" t="s">
        <v>17</v>
      </c>
      <c r="D9" s="4" t="s">
        <v>18</v>
      </c>
      <c r="E9" s="3" t="s">
        <v>19</v>
      </c>
      <c r="F9" s="4" t="s">
        <v>20</v>
      </c>
    </row>
    <row r="11" spans="1:8" ht="15">
      <c r="A11" s="3" t="s">
        <v>21</v>
      </c>
      <c r="B11" s="5" t="s">
        <v>22</v>
      </c>
      <c r="C11" s="3" t="s">
        <v>23</v>
      </c>
      <c r="D11" s="2">
        <f>VLOOKUP(B11,Tarifs!$B$4:$C$20,2,FALSE)</f>
        <v>400000</v>
      </c>
    </row>
    <row r="14" spans="1:8" ht="15">
      <c r="A14" s="9" t="s">
        <v>24</v>
      </c>
      <c r="B14" s="9"/>
      <c r="C14" s="9"/>
      <c r="D14" s="9"/>
      <c r="E14" s="9"/>
      <c r="F14" s="9"/>
      <c r="G14" s="9"/>
      <c r="H14" s="9"/>
    </row>
    <row r="15" spans="1:8" ht="15">
      <c r="A15" s="1" t="s">
        <v>25</v>
      </c>
      <c r="B15" s="1" t="s">
        <v>26</v>
      </c>
      <c r="C15" s="1" t="s">
        <v>27</v>
      </c>
      <c r="D15" s="1" t="s">
        <v>28</v>
      </c>
      <c r="E15" s="1" t="s">
        <v>29</v>
      </c>
      <c r="F15" s="1" t="s">
        <v>30</v>
      </c>
      <c r="G15" s="1" t="s">
        <v>31</v>
      </c>
      <c r="H15" s="1" t="s">
        <v>32</v>
      </c>
    </row>
    <row r="16" spans="1:8">
      <c r="A16">
        <v>1</v>
      </c>
      <c r="B16" s="4"/>
      <c r="C16" s="4">
        <v>0</v>
      </c>
      <c r="D16" s="2" t="str">
        <f>IF(B16="","",VLOOKUP(B16,Tarifs!$B$4:$C$20,2,FALSE))</f>
        <v/>
      </c>
      <c r="E16" s="2" t="str">
        <f t="shared" ref="E16:E27" si="0">IF(OR(B16="",H16="Non"),"",C16*D16)</f>
        <v/>
      </c>
      <c r="F16" t="s">
        <v>33</v>
      </c>
      <c r="G16" s="4"/>
      <c r="H16" s="4" t="s">
        <v>34</v>
      </c>
    </row>
    <row r="17" spans="1:8">
      <c r="A17">
        <v>2</v>
      </c>
      <c r="B17" s="4"/>
      <c r="C17" s="4">
        <v>0</v>
      </c>
      <c r="D17" s="2" t="str">
        <f>IF(B17="","",VLOOKUP(B17,Tarifs!$B$4:$C$20,2,FALSE))</f>
        <v/>
      </c>
      <c r="E17" s="2" t="str">
        <f t="shared" si="0"/>
        <v/>
      </c>
      <c r="F17" t="s">
        <v>33</v>
      </c>
      <c r="G17" s="4"/>
      <c r="H17" s="4" t="s">
        <v>34</v>
      </c>
    </row>
    <row r="18" spans="1:8">
      <c r="A18">
        <v>3</v>
      </c>
      <c r="B18" s="4"/>
      <c r="C18" s="4">
        <v>0</v>
      </c>
      <c r="D18" s="2" t="str">
        <f>IF(B18="","",VLOOKUP(B18,Tarifs!$B$4:$C$20,2,FALSE))</f>
        <v/>
      </c>
      <c r="E18" s="2" t="str">
        <f t="shared" si="0"/>
        <v/>
      </c>
      <c r="F18" t="s">
        <v>33</v>
      </c>
      <c r="G18" s="4"/>
      <c r="H18" s="4" t="s">
        <v>34</v>
      </c>
    </row>
    <row r="19" spans="1:8">
      <c r="A19">
        <v>4</v>
      </c>
      <c r="B19" s="4"/>
      <c r="C19" s="4">
        <v>0</v>
      </c>
      <c r="D19" s="2" t="str">
        <f>IF(B19="","",VLOOKUP(B19,Tarifs!$B$4:$C$20,2,FALSE))</f>
        <v/>
      </c>
      <c r="E19" s="2" t="str">
        <f t="shared" si="0"/>
        <v/>
      </c>
      <c r="F19" t="s">
        <v>33</v>
      </c>
      <c r="G19" s="4"/>
      <c r="H19" s="4" t="s">
        <v>34</v>
      </c>
    </row>
    <row r="20" spans="1:8">
      <c r="A20">
        <v>5</v>
      </c>
      <c r="B20" s="4"/>
      <c r="C20" s="4">
        <v>0</v>
      </c>
      <c r="D20" s="2" t="str">
        <f>IF(B20="","",VLOOKUP(B20,Tarifs!$B$4:$C$20,2,FALSE))</f>
        <v/>
      </c>
      <c r="E20" s="2" t="str">
        <f t="shared" si="0"/>
        <v/>
      </c>
      <c r="F20" t="s">
        <v>33</v>
      </c>
      <c r="G20" s="4"/>
      <c r="H20" s="4" t="s">
        <v>34</v>
      </c>
    </row>
    <row r="21" spans="1:8">
      <c r="A21">
        <v>6</v>
      </c>
      <c r="B21" s="4"/>
      <c r="C21" s="4">
        <v>0</v>
      </c>
      <c r="D21" s="2" t="str">
        <f>IF(B21="","",VLOOKUP(B21,Tarifs!$B$4:$C$20,2,FALSE))</f>
        <v/>
      </c>
      <c r="E21" s="2" t="str">
        <f t="shared" si="0"/>
        <v/>
      </c>
      <c r="F21" t="s">
        <v>33</v>
      </c>
      <c r="G21" s="4"/>
      <c r="H21" s="4" t="s">
        <v>34</v>
      </c>
    </row>
    <row r="22" spans="1:8">
      <c r="A22">
        <v>7</v>
      </c>
      <c r="B22" s="4"/>
      <c r="C22" s="4">
        <v>0</v>
      </c>
      <c r="D22" s="2" t="str">
        <f>IF(B22="","",VLOOKUP(B22,Tarifs!$B$4:$C$20,2,FALSE))</f>
        <v/>
      </c>
      <c r="E22" s="2" t="str">
        <f t="shared" si="0"/>
        <v/>
      </c>
      <c r="F22" t="s">
        <v>33</v>
      </c>
      <c r="G22" s="4"/>
      <c r="H22" s="4" t="s">
        <v>34</v>
      </c>
    </row>
    <row r="23" spans="1:8">
      <c r="A23">
        <v>8</v>
      </c>
      <c r="B23" s="4"/>
      <c r="C23" s="4">
        <v>0</v>
      </c>
      <c r="D23" s="2" t="str">
        <f>IF(B23="","",VLOOKUP(B23,Tarifs!$B$4:$C$20,2,FALSE))</f>
        <v/>
      </c>
      <c r="E23" s="2" t="str">
        <f t="shared" si="0"/>
        <v/>
      </c>
      <c r="F23" t="s">
        <v>33</v>
      </c>
      <c r="G23" s="4"/>
      <c r="H23" s="4" t="s">
        <v>34</v>
      </c>
    </row>
    <row r="24" spans="1:8">
      <c r="A24">
        <v>9</v>
      </c>
      <c r="B24" s="4"/>
      <c r="C24" s="4">
        <v>0</v>
      </c>
      <c r="D24" s="2" t="str">
        <f>IF(B24="","",VLOOKUP(B24,Tarifs!$B$4:$C$20,2,FALSE))</f>
        <v/>
      </c>
      <c r="E24" s="2" t="str">
        <f t="shared" si="0"/>
        <v/>
      </c>
      <c r="F24" t="s">
        <v>33</v>
      </c>
      <c r="G24" s="4"/>
      <c r="H24" s="4" t="s">
        <v>34</v>
      </c>
    </row>
    <row r="25" spans="1:8">
      <c r="A25">
        <v>10</v>
      </c>
      <c r="B25" s="4"/>
      <c r="C25" s="4">
        <v>0</v>
      </c>
      <c r="D25" s="2" t="str">
        <f>IF(B25="","",VLOOKUP(B25,Tarifs!$B$4:$C$20,2,FALSE))</f>
        <v/>
      </c>
      <c r="E25" s="2" t="str">
        <f t="shared" si="0"/>
        <v/>
      </c>
      <c r="F25" t="s">
        <v>33</v>
      </c>
      <c r="G25" s="4"/>
      <c r="H25" s="4" t="s">
        <v>34</v>
      </c>
    </row>
    <row r="26" spans="1:8">
      <c r="A26">
        <v>11</v>
      </c>
      <c r="B26" s="4"/>
      <c r="C26" s="4">
        <v>0</v>
      </c>
      <c r="D26" s="2" t="str">
        <f>IF(B26="","",VLOOKUP(B26,Tarifs!$B$4:$C$20,2,FALSE))</f>
        <v/>
      </c>
      <c r="E26" s="2" t="str">
        <f t="shared" si="0"/>
        <v/>
      </c>
      <c r="F26" t="s">
        <v>33</v>
      </c>
      <c r="G26" s="4"/>
      <c r="H26" s="4" t="s">
        <v>34</v>
      </c>
    </row>
    <row r="27" spans="1:8">
      <c r="A27">
        <v>12</v>
      </c>
      <c r="B27" s="4"/>
      <c r="C27" s="4">
        <v>0</v>
      </c>
      <c r="D27" s="2" t="str">
        <f>IF(B27="","",VLOOKUP(B27,Tarifs!$B$4:$C$20,2,FALSE))</f>
        <v/>
      </c>
      <c r="E27" s="2" t="str">
        <f t="shared" si="0"/>
        <v/>
      </c>
      <c r="F27" t="s">
        <v>33</v>
      </c>
      <c r="G27" s="4"/>
      <c r="H27" s="4" t="s">
        <v>34</v>
      </c>
    </row>
    <row r="29" spans="1:8" ht="15">
      <c r="D29" s="3" t="s">
        <v>35</v>
      </c>
      <c r="E29" s="2">
        <f>SUM(E16:E27)</f>
        <v>0</v>
      </c>
    </row>
    <row r="30" spans="1:8" ht="15">
      <c r="D30" s="3" t="s">
        <v>36</v>
      </c>
      <c r="E30" s="2">
        <f>D11</f>
        <v>400000</v>
      </c>
    </row>
    <row r="31" spans="1:8" ht="15">
      <c r="D31" s="6" t="s">
        <v>37</v>
      </c>
      <c r="E31" s="6">
        <f>E29+E30</f>
        <v>400000</v>
      </c>
    </row>
    <row r="33" spans="1:8" ht="15">
      <c r="D33" s="3" t="s">
        <v>38</v>
      </c>
      <c r="E33" s="4">
        <v>0</v>
      </c>
    </row>
    <row r="34" spans="1:8" ht="15">
      <c r="D34" s="3" t="s">
        <v>39</v>
      </c>
      <c r="E34" s="4">
        <v>0</v>
      </c>
    </row>
    <row r="35" spans="1:8" ht="15">
      <c r="D35" s="3" t="s">
        <v>40</v>
      </c>
      <c r="E35" s="2">
        <f>E33+E34</f>
        <v>0</v>
      </c>
    </row>
    <row r="36" spans="1:8" ht="15">
      <c r="D36" s="3" t="s">
        <v>41</v>
      </c>
      <c r="E36" s="2">
        <f>MAX(E31-E35,0)</f>
        <v>400000</v>
      </c>
    </row>
    <row r="37" spans="1:8" ht="15">
      <c r="D37" s="3" t="s">
        <v>42</v>
      </c>
      <c r="E37" s="3" t="str">
        <f>IF(E35=0,"EN ATTENTE",IF(E36=0,"SOLDÉE","PARTIELLEMENT PAYÉE"))</f>
        <v>EN ATTENTE</v>
      </c>
    </row>
    <row r="39" spans="1:8" ht="15">
      <c r="A39" s="9" t="s">
        <v>43</v>
      </c>
      <c r="B39" s="9"/>
      <c r="C39" s="9"/>
      <c r="D39" s="9"/>
      <c r="E39" s="9"/>
      <c r="F39" s="9"/>
      <c r="G39" s="9"/>
      <c r="H39" s="9"/>
    </row>
    <row r="40" spans="1:8">
      <c r="A40" s="10" t="s">
        <v>44</v>
      </c>
      <c r="B40" s="10"/>
      <c r="C40" s="10"/>
      <c r="D40" s="10"/>
      <c r="E40" s="10"/>
      <c r="F40" s="10"/>
      <c r="G40" s="10"/>
      <c r="H40" s="10"/>
    </row>
    <row r="41" spans="1:8">
      <c r="A41" s="10"/>
      <c r="B41" s="10"/>
      <c r="C41" s="10"/>
      <c r="D41" s="10"/>
      <c r="E41" s="10"/>
      <c r="F41" s="10"/>
      <c r="G41" s="10"/>
      <c r="H41" s="10"/>
    </row>
    <row r="42" spans="1:8">
      <c r="A42" s="10"/>
      <c r="B42" s="10"/>
      <c r="C42" s="10"/>
      <c r="D42" s="10"/>
      <c r="E42" s="10"/>
      <c r="F42" s="10"/>
      <c r="G42" s="10"/>
      <c r="H42" s="10"/>
    </row>
    <row r="43" spans="1:8">
      <c r="A43" s="10"/>
      <c r="B43" s="10"/>
      <c r="C43" s="10"/>
      <c r="D43" s="10"/>
      <c r="E43" s="10"/>
      <c r="F43" s="10"/>
      <c r="G43" s="10"/>
      <c r="H43" s="10"/>
    </row>
    <row r="45" spans="1:8">
      <c r="A45" s="10" t="s">
        <v>45</v>
      </c>
      <c r="B45" s="10"/>
      <c r="C45" s="10"/>
      <c r="F45" s="10" t="s">
        <v>46</v>
      </c>
      <c r="G45" s="10"/>
      <c r="H45" s="10"/>
    </row>
  </sheetData>
  <mergeCells count="9">
    <mergeCell ref="A39:H39"/>
    <mergeCell ref="A40:H43"/>
    <mergeCell ref="A45:C45"/>
    <mergeCell ref="F45:H45"/>
    <mergeCell ref="A1:H1"/>
    <mergeCell ref="A2:H2"/>
    <mergeCell ref="A3:H3"/>
    <mergeCell ref="A5:H5"/>
    <mergeCell ref="A14:H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>
      <selection sqref="A1:D1"/>
    </sheetView>
  </sheetViews>
  <sheetFormatPr baseColWidth="10" defaultColWidth="9" defaultRowHeight="14.25"/>
  <cols>
    <col min="1" max="1" width="14" customWidth="1"/>
    <col min="2" max="2" width="36" customWidth="1"/>
    <col min="3" max="3" width="20" customWidth="1"/>
    <col min="4" max="4" width="56" customWidth="1"/>
    <col min="6" max="7" width="34" customWidth="1"/>
  </cols>
  <sheetData>
    <row r="1" spans="1:8" ht="18.75">
      <c r="A1" s="14" t="s">
        <v>47</v>
      </c>
      <c r="B1" s="14"/>
      <c r="C1" s="14"/>
      <c r="D1" s="14"/>
      <c r="E1" s="8"/>
      <c r="F1" s="7" t="s">
        <v>48</v>
      </c>
      <c r="G1" s="7" t="s">
        <v>49</v>
      </c>
      <c r="H1" s="8"/>
    </row>
    <row r="2" spans="1:8">
      <c r="F2" t="s">
        <v>22</v>
      </c>
      <c r="G2" t="s">
        <v>50</v>
      </c>
    </row>
    <row r="3" spans="1:8" ht="15">
      <c r="A3" s="1" t="s">
        <v>30</v>
      </c>
      <c r="B3" s="1" t="s">
        <v>26</v>
      </c>
      <c r="C3" s="1" t="s">
        <v>51</v>
      </c>
      <c r="D3" s="1" t="s">
        <v>52</v>
      </c>
      <c r="F3" t="s">
        <v>53</v>
      </c>
      <c r="G3" t="s">
        <v>54</v>
      </c>
    </row>
    <row r="4" spans="1:8">
      <c r="A4" t="s">
        <v>55</v>
      </c>
      <c r="B4" t="s">
        <v>22</v>
      </c>
      <c r="C4" s="2">
        <v>400000</v>
      </c>
      <c r="D4" t="s">
        <v>56</v>
      </c>
      <c r="F4" t="s">
        <v>57</v>
      </c>
      <c r="G4" t="s">
        <v>58</v>
      </c>
    </row>
    <row r="5" spans="1:8">
      <c r="A5" t="s">
        <v>55</v>
      </c>
      <c r="B5" t="s">
        <v>53</v>
      </c>
      <c r="C5" s="2">
        <v>300000</v>
      </c>
      <c r="D5" t="s">
        <v>59</v>
      </c>
      <c r="G5" t="s">
        <v>60</v>
      </c>
    </row>
    <row r="6" spans="1:8">
      <c r="A6" t="s">
        <v>55</v>
      </c>
      <c r="B6" t="s">
        <v>57</v>
      </c>
      <c r="C6" s="2">
        <v>800000</v>
      </c>
      <c r="D6" t="s">
        <v>61</v>
      </c>
      <c r="G6" t="s">
        <v>62</v>
      </c>
    </row>
    <row r="7" spans="1:8">
      <c r="A7" t="s">
        <v>63</v>
      </c>
      <c r="B7" t="s">
        <v>50</v>
      </c>
      <c r="C7" s="2">
        <v>100000</v>
      </c>
      <c r="D7" t="s">
        <v>64</v>
      </c>
      <c r="G7" t="s">
        <v>65</v>
      </c>
    </row>
    <row r="8" spans="1:8">
      <c r="A8" t="s">
        <v>63</v>
      </c>
      <c r="B8" t="s">
        <v>54</v>
      </c>
      <c r="C8" s="2">
        <v>250000</v>
      </c>
      <c r="D8" t="s">
        <v>66</v>
      </c>
      <c r="G8" t="s">
        <v>67</v>
      </c>
    </row>
    <row r="9" spans="1:8">
      <c r="A9" t="s">
        <v>63</v>
      </c>
      <c r="B9" t="s">
        <v>58</v>
      </c>
      <c r="C9" s="2">
        <v>80000</v>
      </c>
      <c r="D9" t="s">
        <v>68</v>
      </c>
      <c r="G9" t="s">
        <v>69</v>
      </c>
    </row>
    <row r="10" spans="1:8">
      <c r="A10" t="s">
        <v>63</v>
      </c>
      <c r="B10" t="s">
        <v>60</v>
      </c>
      <c r="C10" s="2">
        <v>150000</v>
      </c>
      <c r="D10" t="s">
        <v>70</v>
      </c>
      <c r="G10" t="s">
        <v>71</v>
      </c>
    </row>
    <row r="11" spans="1:8">
      <c r="A11" t="s">
        <v>63</v>
      </c>
      <c r="B11" t="s">
        <v>62</v>
      </c>
      <c r="C11" s="2">
        <v>100000</v>
      </c>
      <c r="D11" t="s">
        <v>72</v>
      </c>
      <c r="G11" t="s">
        <v>73</v>
      </c>
    </row>
    <row r="12" spans="1:8">
      <c r="A12" t="s">
        <v>63</v>
      </c>
      <c r="B12" t="s">
        <v>65</v>
      </c>
      <c r="C12" s="2">
        <v>50000</v>
      </c>
      <c r="D12" t="s">
        <v>74</v>
      </c>
      <c r="G12" t="s">
        <v>75</v>
      </c>
    </row>
    <row r="13" spans="1:8">
      <c r="A13" t="s">
        <v>63</v>
      </c>
      <c r="B13" t="s">
        <v>67</v>
      </c>
      <c r="C13" s="2">
        <v>150000</v>
      </c>
      <c r="D13" t="s">
        <v>76</v>
      </c>
      <c r="G13" t="s">
        <v>77</v>
      </c>
    </row>
    <row r="14" spans="1:8">
      <c r="A14" t="s">
        <v>63</v>
      </c>
      <c r="B14" t="s">
        <v>69</v>
      </c>
      <c r="C14" s="2">
        <v>120000</v>
      </c>
      <c r="D14" t="s">
        <v>78</v>
      </c>
      <c r="G14" t="s">
        <v>79</v>
      </c>
    </row>
    <row r="15" spans="1:8">
      <c r="A15" t="s">
        <v>63</v>
      </c>
      <c r="B15" t="s">
        <v>71</v>
      </c>
      <c r="C15" s="2">
        <v>50000</v>
      </c>
      <c r="D15" t="s">
        <v>80</v>
      </c>
      <c r="G15" t="s">
        <v>81</v>
      </c>
    </row>
    <row r="16" spans="1:8">
      <c r="A16" t="s">
        <v>63</v>
      </c>
      <c r="B16" t="s">
        <v>73</v>
      </c>
      <c r="C16" s="2">
        <v>150000</v>
      </c>
      <c r="D16" t="s">
        <v>82</v>
      </c>
    </row>
    <row r="17" spans="1:4">
      <c r="A17" t="s">
        <v>63</v>
      </c>
      <c r="B17" t="s">
        <v>75</v>
      </c>
      <c r="C17" s="2">
        <v>100000</v>
      </c>
      <c r="D17" t="s">
        <v>83</v>
      </c>
    </row>
    <row r="18" spans="1:4">
      <c r="A18" t="s">
        <v>63</v>
      </c>
      <c r="B18" t="s">
        <v>77</v>
      </c>
      <c r="C18" s="2">
        <v>150000</v>
      </c>
      <c r="D18" t="s">
        <v>84</v>
      </c>
    </row>
    <row r="19" spans="1:4">
      <c r="A19" t="s">
        <v>63</v>
      </c>
      <c r="B19" t="s">
        <v>79</v>
      </c>
      <c r="C19" s="2">
        <v>300000</v>
      </c>
      <c r="D19" t="s">
        <v>85</v>
      </c>
    </row>
    <row r="20" spans="1:4">
      <c r="A20" t="s">
        <v>63</v>
      </c>
      <c r="B20" t="s">
        <v>81</v>
      </c>
      <c r="C20" s="2">
        <v>100000</v>
      </c>
      <c r="D20" t="s">
        <v>86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tabSelected="1" workbookViewId="0">
      <selection sqref="A1:H1"/>
    </sheetView>
  </sheetViews>
  <sheetFormatPr baseColWidth="10" defaultColWidth="9" defaultRowHeight="14.25"/>
  <cols>
    <col min="1" max="2" width="18" customWidth="1"/>
    <col min="3" max="3" width="24" customWidth="1"/>
    <col min="4" max="4" width="34" customWidth="1"/>
    <col min="5" max="7" width="18" customWidth="1"/>
    <col min="8" max="8" width="24" customWidth="1"/>
  </cols>
  <sheetData>
    <row r="1" spans="1:8" ht="15">
      <c r="A1" s="15" t="s">
        <v>87</v>
      </c>
      <c r="B1" s="15"/>
      <c r="C1" s="15"/>
      <c r="D1" s="15"/>
      <c r="E1" s="15"/>
      <c r="F1" s="15"/>
      <c r="G1" s="15"/>
      <c r="H1" s="15"/>
    </row>
    <row r="3" spans="1:8" ht="15">
      <c r="A3" s="1" t="s">
        <v>3</v>
      </c>
      <c r="B3" s="1" t="s">
        <v>88</v>
      </c>
      <c r="C3" s="1" t="s">
        <v>9</v>
      </c>
      <c r="D3" s="1" t="s">
        <v>89</v>
      </c>
      <c r="E3" s="1" t="s">
        <v>90</v>
      </c>
      <c r="F3" s="1" t="s">
        <v>40</v>
      </c>
      <c r="G3" s="1" t="s">
        <v>41</v>
      </c>
      <c r="H3" s="1" t="s">
        <v>42</v>
      </c>
    </row>
    <row r="4" spans="1:8">
      <c r="A4" t="str">
        <f>'Facture automatique'!B7</f>
        <v>FAC-EL-001</v>
      </c>
      <c r="B4" t="str">
        <f>'Facture automatique'!D7</f>
        <v>JJ/MM/AAAA</v>
      </c>
      <c r="C4" t="str">
        <f>'Facture automatique'!B8</f>
        <v>[Nom client]</v>
      </c>
      <c r="D4" t="str">
        <f>'Facture automatique'!B11</f>
        <v>Demande en mariage Premium</v>
      </c>
      <c r="E4" s="2">
        <f>'Facture automatique'!E31</f>
        <v>400000</v>
      </c>
      <c r="F4" s="2">
        <f>'Facture automatique'!E35</f>
        <v>0</v>
      </c>
      <c r="G4" s="2">
        <f>'Facture automatique'!E36</f>
        <v>400000</v>
      </c>
      <c r="H4" t="str">
        <f>'Facture automatique'!E37</f>
        <v>EN ATTENTE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>
      <selection sqref="A1:F1"/>
    </sheetView>
  </sheetViews>
  <sheetFormatPr baseColWidth="10" defaultColWidth="9" defaultRowHeight="14.25"/>
  <cols>
    <col min="1" max="1" width="105" customWidth="1"/>
  </cols>
  <sheetData>
    <row r="1" spans="1:8" ht="15">
      <c r="A1" s="16" t="s">
        <v>91</v>
      </c>
      <c r="B1" s="16"/>
      <c r="C1" s="16"/>
      <c r="D1" s="16"/>
      <c r="E1" s="16"/>
      <c r="F1" s="16"/>
      <c r="G1" s="8"/>
      <c r="H1" s="8"/>
    </row>
    <row r="3" spans="1:8">
      <c r="A3" t="s">
        <v>92</v>
      </c>
    </row>
    <row r="4" spans="1:8">
      <c r="A4" t="s">
        <v>93</v>
      </c>
    </row>
    <row r="5" spans="1:8">
      <c r="A5" t="s">
        <v>94</v>
      </c>
    </row>
    <row r="6" spans="1:8">
      <c r="A6" t="s">
        <v>95</v>
      </c>
    </row>
    <row r="7" spans="1:8">
      <c r="A7" t="s">
        <v>96</v>
      </c>
    </row>
    <row r="8" spans="1:8">
      <c r="A8" t="s">
        <v>97</v>
      </c>
    </row>
    <row r="9" spans="1:8">
      <c r="A9" t="s">
        <v>98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Facture automatique</vt:lpstr>
      <vt:lpstr>Tarifs</vt:lpstr>
      <vt:lpstr>Suivi factures</vt:lpstr>
      <vt:lpstr>Mode d'emploi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SARR Macoumba</cp:lastModifiedBy>
  <dcterms:modified xsi:type="dcterms:W3CDTF">2026-06-08T14:21:37Z</dcterms:modified>
</cp:coreProperties>
</file>