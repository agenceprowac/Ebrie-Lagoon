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83efc67b0693d36/Ebrié Lagoon Experience/"/>
    </mc:Choice>
  </mc:AlternateContent>
  <xr:revisionPtr revIDLastSave="21" documentId="8_{D8F43CFF-6225-47B8-B06D-BE91903A623F}" xr6:coauthVersionLast="47" xr6:coauthVersionMax="47" xr10:uidLastSave="{505B80E7-80C3-497B-9509-3104F11CCBF5}"/>
  <bookViews>
    <workbookView xWindow="-120" yWindow="-120" windowWidth="29040" windowHeight="15720" xr2:uid="{00000000-000D-0000-FFFF-FFFF00000000}"/>
  </bookViews>
  <sheets>
    <sheet name="Devis automatique" sheetId="1" r:id="rId1"/>
    <sheet name="Tarifs" sheetId="2" r:id="rId2"/>
    <sheet name="Mode d'emploi" sheetId="3" r:id="rId3"/>
  </sheets>
  <definedNames>
    <definedName name="_xlnm._FilterDatabase" localSheetId="0" hidden="1">'Devis automatique'!$A$7:$E$21</definedName>
    <definedName name="OptionsList">Tarifs!$G$2:$G$15</definedName>
    <definedName name="OuiNonList">"Oui,Non"</definedName>
    <definedName name="PacksList">Tarifs!$F$2:$F$4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E20" i="1"/>
  <c r="D20" i="1"/>
  <c r="E19" i="1"/>
  <c r="D19" i="1"/>
  <c r="E18" i="1"/>
  <c r="D18" i="1"/>
  <c r="E17" i="1"/>
  <c r="D17" i="1"/>
  <c r="E16" i="1"/>
  <c r="D16" i="1"/>
  <c r="D15" i="1"/>
  <c r="E15" i="1" s="1"/>
  <c r="D12" i="1"/>
  <c r="E24" i="1" s="1"/>
  <c r="E23" i="1" l="1"/>
  <c r="E25" i="1" s="1"/>
  <c r="E28" i="1" s="1"/>
  <c r="E29" i="1" s="1"/>
</calcChain>
</file>

<file path=xl/sharedStrings.xml><?xml version="1.0" encoding="utf-8"?>
<sst xmlns="http://schemas.openxmlformats.org/spreadsheetml/2006/main" count="118" uniqueCount="84">
  <si>
    <t>EBRIÉ LAGOON EXPERIENCE</t>
  </si>
  <si>
    <t>Expériences • Émotions • Souvenirs</t>
  </si>
  <si>
    <t>INFORMATIONS CLIENT &amp; PRESTATION</t>
  </si>
  <si>
    <t>N° Devis</t>
  </si>
  <si>
    <t>DEV-EL-001</t>
  </si>
  <si>
    <t>Date</t>
  </si>
  <si>
    <t>Validité</t>
  </si>
  <si>
    <t>7 jours</t>
  </si>
  <si>
    <t>Client</t>
  </si>
  <si>
    <t>Téléphone</t>
  </si>
  <si>
    <t>Email</t>
  </si>
  <si>
    <t>Date prestation</t>
  </si>
  <si>
    <t>Heure</t>
  </si>
  <si>
    <t>Lieu embarquement</t>
  </si>
  <si>
    <t>PACK PRINCIPAL</t>
  </si>
  <si>
    <t>Demande en mariage Premium</t>
  </si>
  <si>
    <t>Prix pack</t>
  </si>
  <si>
    <t>N°</t>
  </si>
  <si>
    <t>Option</t>
  </si>
  <si>
    <t>Quantité</t>
  </si>
  <si>
    <t>Prix unitaire</t>
  </si>
  <si>
    <t>Total</t>
  </si>
  <si>
    <t>Sous-total options</t>
  </si>
  <si>
    <t>Pack principal</t>
  </si>
  <si>
    <t>TOTAL GÉNÉRAL</t>
  </si>
  <si>
    <t>Acompte (%)</t>
  </si>
  <si>
    <t>Acompte à payer</t>
  </si>
  <si>
    <t>Solde avant prestation</t>
  </si>
  <si>
    <t>CONDITIONS DE RÉSERVATION</t>
  </si>
  <si>
    <t>La réservation devient ferme après paiement de l’acompte. Le solde est payable avant embarquement. En cas d’annulation à moins de 72 heures, l’acompte reste acquis. La prestation peut être reportée en cas de météo défavorable ou de contrainte de sécurité.</t>
  </si>
  <si>
    <t>Signature Client</t>
  </si>
  <si>
    <t>Signature Prestataire</t>
  </si>
  <si>
    <t>EBRIÉ LAGOON EXPERIENCE – TABLE DES TARIFS</t>
  </si>
  <si>
    <t>Liste Packs</t>
  </si>
  <si>
    <t>Liste Options</t>
  </si>
  <si>
    <t>Décoration romantique</t>
  </si>
  <si>
    <t>Type</t>
  </si>
  <si>
    <t>Désignation</t>
  </si>
  <si>
    <t>Prix unitaire (FCFA)</t>
  </si>
  <si>
    <t>Observations</t>
  </si>
  <si>
    <t>Anniversaire Premium</t>
  </si>
  <si>
    <t>Décoration luxe complète</t>
  </si>
  <si>
    <t>PACK</t>
  </si>
  <si>
    <t>Bateau privatisé, musique douce, boissons classiques</t>
  </si>
  <si>
    <t>Corporate Premium</t>
  </si>
  <si>
    <t>Photographe</t>
  </si>
  <si>
    <t>Bateau privatisé, décoration standard, playlist, boissons</t>
  </si>
  <si>
    <t>Vidéaste</t>
  </si>
  <si>
    <t>Bateau privatisé, coordination, animation légère</t>
  </si>
  <si>
    <t>DJ professionnel</t>
  </si>
  <si>
    <t>OPTION</t>
  </si>
  <si>
    <t>Fleurs, bougies, mise en scène simple</t>
  </si>
  <si>
    <t>Gâteau personnalisé</t>
  </si>
  <si>
    <t>Fleurs naturelles, LED, scénographie</t>
  </si>
  <si>
    <t>Dîner romantique</t>
  </si>
  <si>
    <t>Couverture photo de l’événement</t>
  </si>
  <si>
    <t>Cocktail dînatoire</t>
  </si>
  <si>
    <t>Captation + montage souvenir</t>
  </si>
  <si>
    <t>Message personnalisé</t>
  </si>
  <si>
    <t>Animation musicale</t>
  </si>
  <si>
    <t>Mise en scène personnalisée</t>
  </si>
  <si>
    <t>Selon thème choisi</t>
  </si>
  <si>
    <t>Boissons premium</t>
  </si>
  <si>
    <t>Menu sélectionné à bord</t>
  </si>
  <si>
    <t>Branding corporate</t>
  </si>
  <si>
    <t>Pièces salées/sucrées + boissons</t>
  </si>
  <si>
    <t>Service traiteur corporate</t>
  </si>
  <si>
    <t>Bannière ou support visuel</t>
  </si>
  <si>
    <t>Animation spéciale / MC</t>
  </si>
  <si>
    <t>Scénario surprise coordonné</t>
  </si>
  <si>
    <t>Vin / champagne / softs selon formule</t>
  </si>
  <si>
    <t>Logo, couleurs, signalétique événement</t>
  </si>
  <si>
    <t>Cocktail / repas entreprise</t>
  </si>
  <si>
    <t>Animation événementielle</t>
  </si>
  <si>
    <t>MODE D’EMPLOI – LISTES DÉROULANTES ACTIVÉES</t>
  </si>
  <si>
    <t>1. Dans l’onglet « Devis automatique », cliquez sur la cellule B11 pour choisir le pack principal.</t>
  </si>
  <si>
    <t>2. Dans les lignes d’options, cliquez sur les cellules de la colonne B pour choisir une option.</t>
  </si>
  <si>
    <t>3. Saisissez la quantité en colonne C.</t>
  </si>
  <si>
    <t>4. Le prix unitaire, le total, l’acompte et le solde se calculent automatiquement.</t>
  </si>
  <si>
    <t>5. Les listes déroulantes utilisent des plages nommées dans l’onglet Tarifs afin de fonctionner correctement dans Excel.</t>
  </si>
  <si>
    <t>6. Vous pouvez modifier les tarifs dans l’onglet Tarifs ; les calculs se mettront à jour.</t>
  </si>
  <si>
    <t xml:space="preserve">OPTIONS </t>
  </si>
  <si>
    <t>Abidjan – Côte d’Ivoire  +225 07 07 930 700 contact@ebrielagoon.com</t>
  </si>
  <si>
    <t xml:space="preserve">DEVIS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</si>
</sst>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;[Red]\(#,##0\)\ &quot;FCFA&quot;;\-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0B1E33"/>
      <name val="Calibri"/>
      <family val="2"/>
    </font>
    <font>
      <b/>
      <sz val="14"/>
      <color rgb="FFC9A227"/>
      <name val="Calibri"/>
      <family val="2"/>
    </font>
    <font>
      <i/>
      <sz val="10"/>
      <color rgb="FF666666"/>
      <name val="Calibri"/>
      <family val="2"/>
    </font>
    <font>
      <b/>
      <sz val="11"/>
      <color rgb="FF0B1E33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555555"/>
      <name val="Aptos Narrow"/>
      <family val="2"/>
    </font>
    <font>
      <sz val="10"/>
      <color rgb="FF555555"/>
      <name val="Aptos Narrow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E33"/>
      </patternFill>
    </fill>
    <fill>
      <patternFill patternType="solid">
        <fgColor rgb="FFC9A227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11" fillId="0" borderId="0" xfId="0" applyFont="1"/>
    <xf numFmtId="0" fontId="14" fillId="0" borderId="0" xfId="0" applyFont="1"/>
    <xf numFmtId="0" fontId="12" fillId="0" borderId="0" xfId="0" applyFont="1"/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164" fontId="0" fillId="0" borderId="6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64" fontId="2" fillId="2" borderId="6" xfId="0" applyNumberFormat="1" applyFont="1" applyFill="1" applyBorder="1" applyAlignment="1">
      <alignment vertical="center" wrapText="1"/>
    </xf>
    <xf numFmtId="9" fontId="7" fillId="6" borderId="6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2" borderId="0" xfId="0" applyFont="1" applyFill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F38"/>
  <sheetViews>
    <sheetView showGridLines="0" tabSelected="1" workbookViewId="0">
      <pane ySplit="12" topLeftCell="A17" activePane="bottomLeft" state="frozen"/>
      <selection pane="bottomLeft" activeCell="G21" sqref="G21"/>
    </sheetView>
  </sheetViews>
  <sheetFormatPr baseColWidth="10" defaultColWidth="9.140625" defaultRowHeight="15" x14ac:dyDescent="0.25"/>
  <cols>
    <col min="1" max="1" width="14.5703125" customWidth="1"/>
    <col min="2" max="2" width="28" customWidth="1"/>
    <col min="3" max="3" width="13" customWidth="1"/>
    <col min="4" max="5" width="18" customWidth="1"/>
  </cols>
  <sheetData>
    <row r="1" spans="1:6" ht="21.95" customHeight="1" x14ac:dyDescent="0.35">
      <c r="A1" s="31" t="s">
        <v>0</v>
      </c>
      <c r="B1" s="32"/>
      <c r="C1" s="32"/>
      <c r="D1" s="32"/>
      <c r="E1" s="32"/>
    </row>
    <row r="2" spans="1:6" ht="21.95" customHeight="1" x14ac:dyDescent="0.3">
      <c r="A2" s="35" t="s">
        <v>83</v>
      </c>
      <c r="B2" s="32"/>
      <c r="C2" s="32"/>
      <c r="D2" s="32"/>
      <c r="E2" s="32"/>
    </row>
    <row r="3" spans="1:6" ht="12.75" customHeight="1" x14ac:dyDescent="0.25">
      <c r="A3" s="33" t="s">
        <v>1</v>
      </c>
      <c r="B3" s="32"/>
      <c r="C3" s="32"/>
      <c r="D3" s="32"/>
      <c r="E3" s="32"/>
    </row>
    <row r="4" spans="1:6" ht="15.75" customHeight="1" x14ac:dyDescent="0.25">
      <c r="A4" s="43" t="s">
        <v>82</v>
      </c>
      <c r="B4" s="43"/>
      <c r="C4" s="43"/>
      <c r="D4" s="43"/>
      <c r="E4" s="43"/>
      <c r="F4" s="16"/>
    </row>
    <row r="5" spans="1:6" ht="21.95" customHeight="1" x14ac:dyDescent="0.25">
      <c r="A5" s="41" t="s">
        <v>2</v>
      </c>
      <c r="B5" s="41"/>
      <c r="C5" s="41"/>
      <c r="D5" s="41"/>
      <c r="E5" s="41"/>
    </row>
    <row r="6" spans="1:6" ht="21.95" customHeight="1" x14ac:dyDescent="0.25">
      <c r="A6" s="18"/>
      <c r="B6" s="19"/>
      <c r="C6" s="19"/>
      <c r="D6" s="19"/>
      <c r="E6" s="20"/>
    </row>
    <row r="7" spans="1:6" ht="21.95" customHeight="1" x14ac:dyDescent="0.25">
      <c r="A7" s="21" t="s">
        <v>3</v>
      </c>
      <c r="B7" s="4" t="s">
        <v>4</v>
      </c>
      <c r="C7" s="3" t="s">
        <v>5</v>
      </c>
      <c r="D7" s="4"/>
      <c r="E7" s="22"/>
    </row>
    <row r="8" spans="1:6" ht="21.95" customHeight="1" x14ac:dyDescent="0.25">
      <c r="A8" s="21" t="s">
        <v>8</v>
      </c>
      <c r="B8" s="4"/>
      <c r="C8" s="3" t="s">
        <v>9</v>
      </c>
      <c r="D8" s="4"/>
      <c r="E8" s="22"/>
    </row>
    <row r="9" spans="1:6" ht="31.5" customHeight="1" x14ac:dyDescent="0.25">
      <c r="A9" s="21" t="s">
        <v>11</v>
      </c>
      <c r="B9" s="4"/>
      <c r="C9" s="3" t="s">
        <v>12</v>
      </c>
      <c r="D9" s="4"/>
      <c r="E9" s="22"/>
    </row>
    <row r="10" spans="1:6" ht="31.5" customHeight="1" x14ac:dyDescent="0.25">
      <c r="A10" s="21" t="s">
        <v>6</v>
      </c>
      <c r="B10" s="4" t="s">
        <v>7</v>
      </c>
      <c r="C10" s="3" t="s">
        <v>10</v>
      </c>
      <c r="D10" s="4"/>
      <c r="E10" s="22"/>
    </row>
    <row r="11" spans="1:6" ht="42" customHeight="1" x14ac:dyDescent="0.25">
      <c r="A11" s="21" t="s">
        <v>13</v>
      </c>
      <c r="B11" s="4"/>
      <c r="C11" s="3"/>
      <c r="D11" s="4"/>
      <c r="E11" s="22"/>
    </row>
    <row r="12" spans="1:6" ht="28.5" customHeight="1" x14ac:dyDescent="0.25">
      <c r="A12" s="21" t="s">
        <v>14</v>
      </c>
      <c r="B12" s="5" t="s">
        <v>15</v>
      </c>
      <c r="C12" s="3" t="s">
        <v>16</v>
      </c>
      <c r="D12" s="6">
        <f>VLOOKUP(B12,Tarifs!$B$4:$C$20,2,FALSE)</f>
        <v>800000</v>
      </c>
      <c r="E12" s="23"/>
    </row>
    <row r="13" spans="1:6" ht="21.95" customHeight="1" x14ac:dyDescent="0.25">
      <c r="A13" s="36" t="s">
        <v>81</v>
      </c>
      <c r="B13" s="37"/>
      <c r="C13" s="37"/>
      <c r="D13" s="37"/>
      <c r="E13" s="38"/>
    </row>
    <row r="14" spans="1:6" ht="21.95" customHeight="1" x14ac:dyDescent="0.25">
      <c r="A14" s="24" t="s">
        <v>17</v>
      </c>
      <c r="B14" s="7" t="s">
        <v>18</v>
      </c>
      <c r="C14" s="7" t="s">
        <v>19</v>
      </c>
      <c r="D14" s="7" t="s">
        <v>20</v>
      </c>
      <c r="E14" s="25" t="s">
        <v>21</v>
      </c>
    </row>
    <row r="15" spans="1:6" ht="21.95" customHeight="1" x14ac:dyDescent="0.25">
      <c r="A15" s="26">
        <v>1</v>
      </c>
      <c r="B15" s="4" t="s">
        <v>49</v>
      </c>
      <c r="C15" s="4">
        <v>1</v>
      </c>
      <c r="D15" s="8">
        <f>IF(B15="","",VLOOKUP(B15,Tarifs!$B$4:$C$20,2,FALSE))</f>
        <v>100000</v>
      </c>
      <c r="E15" s="27">
        <f t="shared" ref="E15:E21" si="0">IF(B15="","",C15*D15)</f>
        <v>100000</v>
      </c>
    </row>
    <row r="16" spans="1:6" ht="21.95" customHeight="1" x14ac:dyDescent="0.25">
      <c r="A16" s="26">
        <v>2</v>
      </c>
      <c r="B16" s="4"/>
      <c r="C16" s="4">
        <v>0</v>
      </c>
      <c r="D16" s="8" t="str">
        <f>IF(B16="","",VLOOKUP(B16,Tarifs!$B$4:$C$20,2,FALSE))</f>
        <v/>
      </c>
      <c r="E16" s="27" t="str">
        <f t="shared" si="0"/>
        <v/>
      </c>
    </row>
    <row r="17" spans="1:5" ht="21.95" customHeight="1" x14ac:dyDescent="0.25">
      <c r="A17" s="26">
        <v>3</v>
      </c>
      <c r="B17" s="4"/>
      <c r="C17" s="4">
        <v>0</v>
      </c>
      <c r="D17" s="8" t="str">
        <f>IF(B17="","",VLOOKUP(B17,Tarifs!$B$4:$C$20,2,FALSE))</f>
        <v/>
      </c>
      <c r="E17" s="27" t="str">
        <f t="shared" si="0"/>
        <v/>
      </c>
    </row>
    <row r="18" spans="1:5" ht="21.95" customHeight="1" x14ac:dyDescent="0.25">
      <c r="A18" s="26">
        <v>4</v>
      </c>
      <c r="B18" s="4"/>
      <c r="C18" s="4">
        <v>0</v>
      </c>
      <c r="D18" s="8" t="str">
        <f>IF(B18="","",VLOOKUP(B18,Tarifs!$B$4:$C$20,2,FALSE))</f>
        <v/>
      </c>
      <c r="E18" s="27" t="str">
        <f t="shared" si="0"/>
        <v/>
      </c>
    </row>
    <row r="19" spans="1:5" ht="21.95" customHeight="1" x14ac:dyDescent="0.25">
      <c r="A19" s="26">
        <v>5</v>
      </c>
      <c r="B19" s="4"/>
      <c r="C19" s="4">
        <v>0</v>
      </c>
      <c r="D19" s="8" t="str">
        <f>IF(B19="","",VLOOKUP(B19,Tarifs!$B$4:$C$20,2,FALSE))</f>
        <v/>
      </c>
      <c r="E19" s="27" t="str">
        <f t="shared" si="0"/>
        <v/>
      </c>
    </row>
    <row r="20" spans="1:5" ht="21.95" customHeight="1" x14ac:dyDescent="0.25">
      <c r="A20" s="26">
        <v>6</v>
      </c>
      <c r="B20" s="4"/>
      <c r="C20" s="4">
        <v>0</v>
      </c>
      <c r="D20" s="8" t="str">
        <f>IF(B20="","",VLOOKUP(B20,Tarifs!$B$4:$C$20,2,FALSE))</f>
        <v/>
      </c>
      <c r="E20" s="27" t="str">
        <f t="shared" si="0"/>
        <v/>
      </c>
    </row>
    <row r="21" spans="1:5" ht="21.95" customHeight="1" x14ac:dyDescent="0.25">
      <c r="A21" s="26">
        <v>7</v>
      </c>
      <c r="B21" s="4"/>
      <c r="C21" s="4">
        <v>0</v>
      </c>
      <c r="D21" s="8" t="str">
        <f>IF(B21="","",VLOOKUP(B21,Tarifs!$B$4:$C$20,2,FALSE))</f>
        <v/>
      </c>
      <c r="E21" s="27" t="str">
        <f t="shared" si="0"/>
        <v/>
      </c>
    </row>
    <row r="22" spans="1:5" ht="14.25" customHeight="1" x14ac:dyDescent="0.25">
      <c r="A22" s="28"/>
      <c r="B22" s="2"/>
      <c r="C22" s="2"/>
      <c r="D22" s="2"/>
      <c r="E22" s="23"/>
    </row>
    <row r="23" spans="1:5" ht="21.95" customHeight="1" x14ac:dyDescent="0.25">
      <c r="A23" s="28"/>
      <c r="B23" s="2"/>
      <c r="C23" s="2"/>
      <c r="D23" s="3" t="s">
        <v>22</v>
      </c>
      <c r="E23" s="27">
        <f>SUM(E15:E21)</f>
        <v>100000</v>
      </c>
    </row>
    <row r="24" spans="1:5" ht="21.95" customHeight="1" x14ac:dyDescent="0.25">
      <c r="A24" s="28"/>
      <c r="B24" s="2"/>
      <c r="C24" s="2"/>
      <c r="D24" s="3" t="s">
        <v>23</v>
      </c>
      <c r="E24" s="27">
        <f>D12</f>
        <v>800000</v>
      </c>
    </row>
    <row r="25" spans="1:5" ht="21.95" customHeight="1" x14ac:dyDescent="0.25">
      <c r="A25" s="28"/>
      <c r="B25" s="2"/>
      <c r="C25" s="2"/>
      <c r="D25" s="1" t="s">
        <v>24</v>
      </c>
      <c r="E25" s="29">
        <f>E23+E24</f>
        <v>900000</v>
      </c>
    </row>
    <row r="26" spans="1:5" ht="21.95" customHeight="1" x14ac:dyDescent="0.25">
      <c r="A26" s="28"/>
      <c r="B26" s="2"/>
      <c r="C26" s="2"/>
      <c r="D26" s="2"/>
      <c r="E26" s="23"/>
    </row>
    <row r="27" spans="1:5" ht="21.95" customHeight="1" x14ac:dyDescent="0.25">
      <c r="A27" s="28"/>
      <c r="B27" s="2"/>
      <c r="C27" s="42" t="s">
        <v>25</v>
      </c>
      <c r="D27" s="42"/>
      <c r="E27" s="30">
        <v>0.5</v>
      </c>
    </row>
    <row r="28" spans="1:5" ht="21.95" customHeight="1" x14ac:dyDescent="0.25">
      <c r="A28" s="28"/>
      <c r="B28" s="2"/>
      <c r="C28" s="42" t="s">
        <v>26</v>
      </c>
      <c r="D28" s="42"/>
      <c r="E28" s="27">
        <f>E25*E27</f>
        <v>450000</v>
      </c>
    </row>
    <row r="29" spans="1:5" ht="27" customHeight="1" x14ac:dyDescent="0.25">
      <c r="A29" s="28"/>
      <c r="B29" s="2"/>
      <c r="C29" s="42" t="s">
        <v>27</v>
      </c>
      <c r="D29" s="42"/>
      <c r="E29" s="27">
        <f>E25-E28</f>
        <v>450000</v>
      </c>
    </row>
    <row r="30" spans="1:5" ht="12.75" customHeight="1" x14ac:dyDescent="0.25">
      <c r="A30" s="28"/>
      <c r="B30" s="2"/>
      <c r="C30" s="2"/>
      <c r="D30" s="2"/>
      <c r="E30" s="23"/>
    </row>
    <row r="31" spans="1:5" ht="21.95" customHeight="1" x14ac:dyDescent="0.25">
      <c r="A31" s="39" t="s">
        <v>28</v>
      </c>
      <c r="B31" s="40"/>
      <c r="C31" s="40"/>
      <c r="D31" s="40"/>
      <c r="E31" s="40"/>
    </row>
    <row r="32" spans="1:5" ht="21.95" customHeight="1" x14ac:dyDescent="0.25">
      <c r="A32" s="34" t="s">
        <v>29</v>
      </c>
      <c r="B32" s="34"/>
      <c r="C32" s="34"/>
      <c r="D32" s="34"/>
      <c r="E32" s="34"/>
    </row>
    <row r="33" spans="1:5" ht="21.95" customHeight="1" x14ac:dyDescent="0.25">
      <c r="A33" s="34"/>
      <c r="B33" s="34"/>
      <c r="C33" s="34"/>
      <c r="D33" s="34"/>
      <c r="E33" s="34"/>
    </row>
    <row r="34" spans="1:5" ht="11.25" customHeight="1" x14ac:dyDescent="0.25">
      <c r="A34" s="34"/>
      <c r="B34" s="34"/>
      <c r="C34" s="34"/>
      <c r="D34" s="34"/>
      <c r="E34" s="34"/>
    </row>
    <row r="35" spans="1:5" ht="21.75" hidden="1" customHeight="1" x14ac:dyDescent="0.25">
      <c r="A35" s="34"/>
      <c r="B35" s="34"/>
      <c r="C35" s="34"/>
      <c r="D35" s="34"/>
      <c r="E35" s="34"/>
    </row>
    <row r="36" spans="1:5" ht="21.95" customHeight="1" x14ac:dyDescent="0.25">
      <c r="A36" s="17" t="s">
        <v>30</v>
      </c>
      <c r="D36" s="17" t="s">
        <v>31</v>
      </c>
    </row>
    <row r="37" spans="1:5" ht="21.95" customHeight="1" x14ac:dyDescent="0.25">
      <c r="A37" s="32"/>
      <c r="B37" s="32"/>
      <c r="C37" s="32"/>
    </row>
    <row r="38" spans="1:5" ht="21.95" customHeight="1" x14ac:dyDescent="0.25"/>
  </sheetData>
  <mergeCells count="12">
    <mergeCell ref="A37:C37"/>
    <mergeCell ref="A5:E5"/>
    <mergeCell ref="C27:D27"/>
    <mergeCell ref="C28:D28"/>
    <mergeCell ref="C29:D29"/>
    <mergeCell ref="A1:E1"/>
    <mergeCell ref="A3:E3"/>
    <mergeCell ref="A32:E35"/>
    <mergeCell ref="A2:E2"/>
    <mergeCell ref="A13:E13"/>
    <mergeCell ref="A31:E31"/>
    <mergeCell ref="A4:E4"/>
  </mergeCells>
  <dataValidations count="2">
    <dataValidation type="list" errorTitle="Pack invalide" error="Veuillez choisir un pack dans la liste." promptTitle="Choix du pack" prompt="Sélectionnez un pack : Demande, Anniversaire ou Corporate." sqref="B12" xr:uid="{00000000-0002-0000-0000-000000000000}">
      <formula1>PacksList</formula1>
    </dataValidation>
    <dataValidation type="list" allowBlank="1" errorTitle="Option invalide" error="Veuillez choisir une option dans la liste." promptTitle="Choix option" prompt="Sélectionnez une option dans la liste déroulante." sqref="B15:B21" xr:uid="{00000000-0002-0000-0000-000001000000}">
      <formula1>OptionsList</formula1>
    </dataValidation>
  </dataValidations>
  <pageMargins left="0.35433070866141736" right="0.35433070866141736" top="0.51181102362204722" bottom="0.51181102362204722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G20"/>
  <sheetViews>
    <sheetView showGridLines="0" workbookViewId="0">
      <selection activeCell="C6" sqref="C6"/>
    </sheetView>
  </sheetViews>
  <sheetFormatPr baseColWidth="10" defaultColWidth="9.140625" defaultRowHeight="15" x14ac:dyDescent="0.25"/>
  <cols>
    <col min="1" max="1" width="12" customWidth="1"/>
    <col min="2" max="2" width="28.42578125" customWidth="1"/>
    <col min="3" max="3" width="22" customWidth="1"/>
    <col min="4" max="4" width="58" customWidth="1"/>
    <col min="6" max="7" width="32" customWidth="1"/>
  </cols>
  <sheetData>
    <row r="1" spans="1:7" ht="18.75" x14ac:dyDescent="0.3">
      <c r="A1" s="44" t="s">
        <v>32</v>
      </c>
      <c r="B1" s="32"/>
      <c r="C1" s="32"/>
      <c r="D1" s="32"/>
      <c r="F1" s="9" t="s">
        <v>33</v>
      </c>
      <c r="G1" s="9" t="s">
        <v>34</v>
      </c>
    </row>
    <row r="2" spans="1:7" x14ac:dyDescent="0.25">
      <c r="F2" t="s">
        <v>15</v>
      </c>
      <c r="G2" t="s">
        <v>35</v>
      </c>
    </row>
    <row r="3" spans="1:7" x14ac:dyDescent="0.25">
      <c r="A3" s="10" t="s">
        <v>36</v>
      </c>
      <c r="B3" s="10" t="s">
        <v>37</v>
      </c>
      <c r="C3" s="10" t="s">
        <v>38</v>
      </c>
      <c r="D3" s="10" t="s">
        <v>39</v>
      </c>
      <c r="F3" t="s">
        <v>40</v>
      </c>
      <c r="G3" t="s">
        <v>41</v>
      </c>
    </row>
    <row r="4" spans="1:7" ht="21" customHeight="1" x14ac:dyDescent="0.25">
      <c r="A4" s="11" t="s">
        <v>42</v>
      </c>
      <c r="B4" s="11" t="s">
        <v>15</v>
      </c>
      <c r="C4" s="12">
        <v>800000</v>
      </c>
      <c r="D4" s="11" t="s">
        <v>43</v>
      </c>
      <c r="F4" t="s">
        <v>44</v>
      </c>
      <c r="G4" t="s">
        <v>45</v>
      </c>
    </row>
    <row r="5" spans="1:7" x14ac:dyDescent="0.25">
      <c r="A5" s="11" t="s">
        <v>42</v>
      </c>
      <c r="B5" s="11" t="s">
        <v>40</v>
      </c>
      <c r="C5" s="12">
        <v>600000</v>
      </c>
      <c r="D5" s="11" t="s">
        <v>46</v>
      </c>
      <c r="G5" t="s">
        <v>47</v>
      </c>
    </row>
    <row r="6" spans="1:7" x14ac:dyDescent="0.25">
      <c r="A6" s="11" t="s">
        <v>42</v>
      </c>
      <c r="B6" s="11" t="s">
        <v>44</v>
      </c>
      <c r="C6" s="12">
        <v>1000000</v>
      </c>
      <c r="D6" s="11" t="s">
        <v>48</v>
      </c>
      <c r="G6" t="s">
        <v>49</v>
      </c>
    </row>
    <row r="7" spans="1:7" x14ac:dyDescent="0.25">
      <c r="A7" s="13" t="s">
        <v>50</v>
      </c>
      <c r="B7" s="13" t="s">
        <v>35</v>
      </c>
      <c r="C7" s="14">
        <v>100000</v>
      </c>
      <c r="D7" s="13" t="s">
        <v>51</v>
      </c>
      <c r="G7" t="s">
        <v>52</v>
      </c>
    </row>
    <row r="8" spans="1:7" x14ac:dyDescent="0.25">
      <c r="A8" s="13" t="s">
        <v>50</v>
      </c>
      <c r="B8" s="13" t="s">
        <v>41</v>
      </c>
      <c r="C8" s="14">
        <v>250000</v>
      </c>
      <c r="D8" s="13" t="s">
        <v>53</v>
      </c>
      <c r="G8" t="s">
        <v>54</v>
      </c>
    </row>
    <row r="9" spans="1:7" x14ac:dyDescent="0.25">
      <c r="A9" s="13" t="s">
        <v>50</v>
      </c>
      <c r="B9" s="13" t="s">
        <v>45</v>
      </c>
      <c r="C9" s="14">
        <v>80000</v>
      </c>
      <c r="D9" s="13" t="s">
        <v>55</v>
      </c>
      <c r="G9" t="s">
        <v>56</v>
      </c>
    </row>
    <row r="10" spans="1:7" x14ac:dyDescent="0.25">
      <c r="A10" s="13" t="s">
        <v>50</v>
      </c>
      <c r="B10" s="13" t="s">
        <v>47</v>
      </c>
      <c r="C10" s="14">
        <v>150000</v>
      </c>
      <c r="D10" s="13" t="s">
        <v>57</v>
      </c>
      <c r="G10" t="s">
        <v>58</v>
      </c>
    </row>
    <row r="11" spans="1:7" x14ac:dyDescent="0.25">
      <c r="A11" s="13" t="s">
        <v>50</v>
      </c>
      <c r="B11" s="13" t="s">
        <v>49</v>
      </c>
      <c r="C11" s="14">
        <v>100000</v>
      </c>
      <c r="D11" s="13" t="s">
        <v>59</v>
      </c>
      <c r="G11" t="s">
        <v>60</v>
      </c>
    </row>
    <row r="12" spans="1:7" x14ac:dyDescent="0.25">
      <c r="A12" s="13" t="s">
        <v>50</v>
      </c>
      <c r="B12" s="13" t="s">
        <v>52</v>
      </c>
      <c r="C12" s="14">
        <v>50000</v>
      </c>
      <c r="D12" s="13" t="s">
        <v>61</v>
      </c>
      <c r="G12" t="s">
        <v>62</v>
      </c>
    </row>
    <row r="13" spans="1:7" x14ac:dyDescent="0.25">
      <c r="A13" s="13" t="s">
        <v>50</v>
      </c>
      <c r="B13" s="13" t="s">
        <v>54</v>
      </c>
      <c r="C13" s="14">
        <v>150000</v>
      </c>
      <c r="D13" s="13" t="s">
        <v>63</v>
      </c>
      <c r="G13" t="s">
        <v>64</v>
      </c>
    </row>
    <row r="14" spans="1:7" x14ac:dyDescent="0.25">
      <c r="A14" s="13" t="s">
        <v>50</v>
      </c>
      <c r="B14" s="13" t="s">
        <v>56</v>
      </c>
      <c r="C14" s="14">
        <v>120000</v>
      </c>
      <c r="D14" s="13" t="s">
        <v>65</v>
      </c>
      <c r="G14" t="s">
        <v>66</v>
      </c>
    </row>
    <row r="15" spans="1:7" x14ac:dyDescent="0.25">
      <c r="A15" s="13" t="s">
        <v>50</v>
      </c>
      <c r="B15" s="13" t="s">
        <v>58</v>
      </c>
      <c r="C15" s="14">
        <v>50000</v>
      </c>
      <c r="D15" s="13" t="s">
        <v>67</v>
      </c>
      <c r="G15" t="s">
        <v>68</v>
      </c>
    </row>
    <row r="16" spans="1:7" x14ac:dyDescent="0.25">
      <c r="A16" s="13" t="s">
        <v>50</v>
      </c>
      <c r="B16" s="13" t="s">
        <v>60</v>
      </c>
      <c r="C16" s="14">
        <v>150000</v>
      </c>
      <c r="D16" s="13" t="s">
        <v>69</v>
      </c>
    </row>
    <row r="17" spans="1:4" x14ac:dyDescent="0.25">
      <c r="A17" s="13" t="s">
        <v>50</v>
      </c>
      <c r="B17" s="13" t="s">
        <v>62</v>
      </c>
      <c r="C17" s="14">
        <v>100000</v>
      </c>
      <c r="D17" s="13" t="s">
        <v>70</v>
      </c>
    </row>
    <row r="18" spans="1:4" x14ac:dyDescent="0.25">
      <c r="A18" s="13" t="s">
        <v>50</v>
      </c>
      <c r="B18" s="13" t="s">
        <v>64</v>
      </c>
      <c r="C18" s="14">
        <v>150000</v>
      </c>
      <c r="D18" s="13" t="s">
        <v>71</v>
      </c>
    </row>
    <row r="19" spans="1:4" x14ac:dyDescent="0.25">
      <c r="A19" s="13" t="s">
        <v>50</v>
      </c>
      <c r="B19" s="13" t="s">
        <v>66</v>
      </c>
      <c r="C19" s="14">
        <v>300000</v>
      </c>
      <c r="D19" s="13" t="s">
        <v>72</v>
      </c>
    </row>
    <row r="20" spans="1:4" x14ac:dyDescent="0.25">
      <c r="A20" s="13" t="s">
        <v>50</v>
      </c>
      <c r="B20" s="13" t="s">
        <v>68</v>
      </c>
      <c r="C20" s="14">
        <v>100000</v>
      </c>
      <c r="D20" s="13" t="s">
        <v>73</v>
      </c>
    </row>
  </sheetData>
  <mergeCells count="1">
    <mergeCell ref="A1:D1"/>
  </mergeCells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F8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110" customWidth="1"/>
  </cols>
  <sheetData>
    <row r="1" spans="1:6" ht="21" x14ac:dyDescent="0.35">
      <c r="A1" s="45" t="s">
        <v>74</v>
      </c>
      <c r="B1" s="32"/>
      <c r="C1" s="32"/>
      <c r="D1" s="32"/>
      <c r="E1" s="32"/>
      <c r="F1" s="32"/>
    </row>
    <row r="3" spans="1:6" ht="15.75" x14ac:dyDescent="0.25">
      <c r="A3" s="15" t="s">
        <v>75</v>
      </c>
    </row>
    <row r="4" spans="1:6" ht="15.75" x14ac:dyDescent="0.25">
      <c r="A4" s="15" t="s">
        <v>76</v>
      </c>
    </row>
    <row r="5" spans="1:6" ht="15.75" x14ac:dyDescent="0.25">
      <c r="A5" s="15" t="s">
        <v>77</v>
      </c>
    </row>
    <row r="6" spans="1:6" ht="15.75" x14ac:dyDescent="0.25">
      <c r="A6" s="15" t="s">
        <v>78</v>
      </c>
    </row>
    <row r="7" spans="1:6" ht="15.75" x14ac:dyDescent="0.25">
      <c r="A7" s="15" t="s">
        <v>79</v>
      </c>
    </row>
    <row r="8" spans="1:6" ht="15.75" x14ac:dyDescent="0.25">
      <c r="A8" s="15" t="s">
        <v>80</v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5785A4-39FD-4334-9F71-D933A7C1F8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Devis automatique</vt:lpstr>
      <vt:lpstr>Tarifs</vt:lpstr>
      <vt:lpstr>Mode d'emploi</vt:lpstr>
      <vt:lpstr>OptionsList</vt:lpstr>
      <vt:lpstr>PacksList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SARR Macoumba</cp:lastModifiedBy>
  <cp:lastPrinted>2026-04-30T11:59:38Z</cp:lastPrinted>
  <dcterms:created xsi:type="dcterms:W3CDTF">2026-04-29T13:14:15Z</dcterms:created>
  <dcterms:modified xsi:type="dcterms:W3CDTF">2026-06-08T14:20:15Z</dcterms:modified>
</cp:coreProperties>
</file>