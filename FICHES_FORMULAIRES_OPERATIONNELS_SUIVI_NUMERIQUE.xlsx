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83efc67b0693d36/Ebrié Lagoon Experience/FINAL/"/>
    </mc:Choice>
  </mc:AlternateContent>
  <xr:revisionPtr revIDLastSave="5" documentId="11_FA5440C844AEE6BEF0F0E19F922471ACCA2CEA23" xr6:coauthVersionLast="47" xr6:coauthVersionMax="47" xr10:uidLastSave="{6AE06B37-8CE7-4039-BAE9-C8493EA1B7BF}"/>
  <bookViews>
    <workbookView xWindow="-120" yWindow="-120" windowWidth="29040" windowHeight="15720" activeTab="1" xr2:uid="{00000000-000D-0000-FFFF-FFFF00000000}"/>
  </bookViews>
  <sheets>
    <sheet name="Paramètres" sheetId="1" r:id="rId1"/>
    <sheet name="Réservations" sheetId="2" r:id="rId2"/>
    <sheet name="Contrôle bateau" sheetId="3" r:id="rId3"/>
    <sheet name="Incidents" sheetId="4" r:id="rId4"/>
    <sheet name="Réclamations" sheetId="5" r:id="rId5"/>
    <sheet name="Paiements" sheetId="6" r:id="rId6"/>
    <sheet name="Partenaires" sheetId="7" r:id="rId7"/>
    <sheet name="Assurances" sheetId="8" r:id="rId8"/>
    <sheet name="Tableau de bor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9" l="1"/>
  <c r="N17" i="9"/>
  <c r="N16" i="9"/>
  <c r="N15" i="9"/>
  <c r="M14" i="9"/>
  <c r="L14" i="9"/>
  <c r="K14" i="9"/>
  <c r="J14" i="9"/>
  <c r="I14" i="9"/>
  <c r="H14" i="9"/>
  <c r="G14" i="9"/>
  <c r="F14" i="9"/>
  <c r="E14" i="9"/>
  <c r="D14" i="9"/>
  <c r="C14" i="9"/>
  <c r="B14" i="9"/>
  <c r="M13" i="9"/>
  <c r="L13" i="9"/>
  <c r="K13" i="9"/>
  <c r="J13" i="9"/>
  <c r="I13" i="9"/>
  <c r="H13" i="9"/>
  <c r="G13" i="9"/>
  <c r="F13" i="9"/>
  <c r="E13" i="9"/>
  <c r="D13" i="9"/>
  <c r="C13" i="9"/>
  <c r="B13" i="9"/>
  <c r="M12" i="9"/>
  <c r="L12" i="9"/>
  <c r="K12" i="9"/>
  <c r="J12" i="9"/>
  <c r="I12" i="9"/>
  <c r="H12" i="9"/>
  <c r="G12" i="9"/>
  <c r="F12" i="9"/>
  <c r="E12" i="9"/>
  <c r="D12" i="9"/>
  <c r="C12" i="9"/>
  <c r="B12" i="9"/>
  <c r="M11" i="9"/>
  <c r="L11" i="9"/>
  <c r="K11" i="9"/>
  <c r="J11" i="9"/>
  <c r="I11" i="9"/>
  <c r="H11" i="9"/>
  <c r="G11" i="9"/>
  <c r="F11" i="9"/>
  <c r="E11" i="9"/>
  <c r="D11" i="9"/>
  <c r="C11" i="9"/>
  <c r="B11" i="9"/>
  <c r="M10" i="9"/>
  <c r="L10" i="9"/>
  <c r="K10" i="9"/>
  <c r="J10" i="9"/>
  <c r="I10" i="9"/>
  <c r="H10" i="9"/>
  <c r="G10" i="9"/>
  <c r="F10" i="9"/>
  <c r="E10" i="9"/>
  <c r="D10" i="9"/>
  <c r="C10" i="9"/>
  <c r="B10" i="9"/>
  <c r="M8" i="9"/>
  <c r="L8" i="9"/>
  <c r="K8" i="9"/>
  <c r="J8" i="9"/>
  <c r="I8" i="9"/>
  <c r="H8" i="9"/>
  <c r="G8" i="9"/>
  <c r="F8" i="9"/>
  <c r="E8" i="9"/>
  <c r="D8" i="9"/>
  <c r="C8" i="9"/>
  <c r="B8" i="9"/>
  <c r="M7" i="9"/>
  <c r="M9" i="9" s="1"/>
  <c r="L7" i="9"/>
  <c r="K7" i="9"/>
  <c r="J7" i="9"/>
  <c r="I7" i="9"/>
  <c r="H7" i="9"/>
  <c r="G7" i="9"/>
  <c r="F7" i="9"/>
  <c r="E7" i="9"/>
  <c r="E9" i="9" s="1"/>
  <c r="D7" i="9"/>
  <c r="C7" i="9"/>
  <c r="B7" i="9"/>
  <c r="M6" i="9"/>
  <c r="L6" i="9"/>
  <c r="K6" i="9"/>
  <c r="J6" i="9"/>
  <c r="I6" i="9"/>
  <c r="H6" i="9"/>
  <c r="G6" i="9"/>
  <c r="F6" i="9"/>
  <c r="E6" i="9"/>
  <c r="D6" i="9"/>
  <c r="C6" i="9"/>
  <c r="B6" i="9"/>
  <c r="M5" i="9"/>
  <c r="L5" i="9"/>
  <c r="K5" i="9"/>
  <c r="J5" i="9"/>
  <c r="I5" i="9"/>
  <c r="H5" i="9"/>
  <c r="G5" i="9"/>
  <c r="F5" i="9"/>
  <c r="E5" i="9"/>
  <c r="D5" i="9"/>
  <c r="C5" i="9"/>
  <c r="B5" i="9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7" i="9" l="1"/>
  <c r="B23" i="9" s="1"/>
  <c r="G9" i="9"/>
  <c r="H9" i="9"/>
  <c r="D9" i="9"/>
  <c r="L9" i="9"/>
  <c r="I9" i="9"/>
  <c r="B9" i="9"/>
  <c r="J9" i="9"/>
  <c r="C9" i="9"/>
  <c r="K9" i="9"/>
  <c r="N6" i="9"/>
  <c r="F9" i="9"/>
  <c r="N11" i="9"/>
  <c r="N13" i="9"/>
  <c r="N5" i="9"/>
  <c r="N8" i="9"/>
  <c r="N10" i="9"/>
  <c r="N12" i="9"/>
  <c r="N14" i="9"/>
  <c r="B26" i="9" s="1"/>
  <c r="N9" i="9" l="1"/>
  <c r="B24" i="9" s="1"/>
</calcChain>
</file>

<file path=xl/sharedStrings.xml><?xml version="1.0" encoding="utf-8"?>
<sst xmlns="http://schemas.openxmlformats.org/spreadsheetml/2006/main" count="996" uniqueCount="962">
  <si>
    <t>PARAMÈTRES ET LISTES DE CONTRÔLE</t>
  </si>
  <si>
    <t>Fichier de suivi numérique – Ebrié Lagoon Experience | Version de travail pour exploitation, contrôle interne et reporting bancaire</t>
  </si>
  <si>
    <t>Paramètre</t>
  </si>
  <si>
    <t>Valeur</t>
  </si>
  <si>
    <t>Nom du projet</t>
  </si>
  <si>
    <t>Ebrié Lagoon Experience</t>
  </si>
  <si>
    <t>Promoteur</t>
  </si>
  <si>
    <t>SARR Macoumba</t>
  </si>
  <si>
    <t>Localisation</t>
  </si>
  <si>
    <t>Abidjan – Lagune Ébrié</t>
  </si>
  <si>
    <t>Date de démarrage suivi</t>
  </si>
  <si>
    <t>Taux satisfaction cible</t>
  </si>
  <si>
    <t>Taux ponctualité cible</t>
  </si>
  <si>
    <t>Seuil alerte incidents graves</t>
  </si>
  <si>
    <t>Listes déroulantes</t>
  </si>
  <si>
    <t>Statuts</t>
  </si>
  <si>
    <t>Prestations</t>
  </si>
  <si>
    <t>Modes paiement</t>
  </si>
  <si>
    <t>Niveaux météo</t>
  </si>
  <si>
    <t>Niveaux incident</t>
  </si>
  <si>
    <t>Canaux</t>
  </si>
  <si>
    <t>Oui/Non</t>
  </si>
  <si>
    <t>En attente</t>
  </si>
  <si>
    <t>Balade simple</t>
  </si>
  <si>
    <t>Espèces</t>
  </si>
  <si>
    <t>Vert</t>
  </si>
  <si>
    <t>Mineur</t>
  </si>
  <si>
    <t>WhatsApp</t>
  </si>
  <si>
    <t>Oui</t>
  </si>
  <si>
    <t>Confirmée</t>
  </si>
  <si>
    <t>Sunset Experience</t>
  </si>
  <si>
    <t>Mobile Money</t>
  </si>
  <si>
    <t>Orange</t>
  </si>
  <si>
    <t>Significatif</t>
  </si>
  <si>
    <t>Téléphone</t>
  </si>
  <si>
    <t>Non</t>
  </si>
  <si>
    <t>Réalisée</t>
  </si>
  <si>
    <t>Anniversaire</t>
  </si>
  <si>
    <t>Virement</t>
  </si>
  <si>
    <t>Rouge</t>
  </si>
  <si>
    <t>Grave</t>
  </si>
  <si>
    <t>Instagram</t>
  </si>
  <si>
    <t>Reportée</t>
  </si>
  <si>
    <t>Demande en mariage</t>
  </si>
  <si>
    <t>Carte/Terminal</t>
  </si>
  <si>
    <t>Facebook</t>
  </si>
  <si>
    <t>Annulée</t>
  </si>
  <si>
    <t>VIP / Premium</t>
  </si>
  <si>
    <t>Partenaire</t>
  </si>
  <si>
    <t>Clôturée</t>
  </si>
  <si>
    <t>Corporate</t>
  </si>
  <si>
    <t>Recommandation</t>
  </si>
  <si>
    <t>Source documentaire</t>
  </si>
  <si>
    <t>Manuel d’exploitation et procédures – Ebrié Lagoon Experience, version améliorée, juin 2026</t>
  </si>
  <si>
    <t>REGISTRE NUMÉRIQUE DES RÉSERVATIONS CLIENTS</t>
  </si>
  <si>
    <t>N° réservation</t>
  </si>
  <si>
    <t>Date demande</t>
  </si>
  <si>
    <t>Canal</t>
  </si>
  <si>
    <t>Nom client</t>
  </si>
  <si>
    <t>Téléphone/WhatsApp</t>
  </si>
  <si>
    <t>Email</t>
  </si>
  <si>
    <t>Type prestation</t>
  </si>
  <si>
    <t>Date prestation</t>
  </si>
  <si>
    <t>Heure</t>
  </si>
  <si>
    <t>Nb participants</t>
  </si>
  <si>
    <t>Options demandées</t>
  </si>
  <si>
    <t>Montant convenu (FCFA)</t>
  </si>
  <si>
    <t>Acompte payé (FCFA)</t>
  </si>
  <si>
    <t>Solde restant (FCFA)</t>
  </si>
  <si>
    <t>Mode paiement</t>
  </si>
  <si>
    <t>Bateau / partenaire</t>
  </si>
  <si>
    <t>Statut</t>
  </si>
  <si>
    <t>Observations</t>
  </si>
  <si>
    <t>RES-0001</t>
  </si>
  <si>
    <t>RES-0002</t>
  </si>
  <si>
    <t>RES-0003</t>
  </si>
  <si>
    <t>RES-0004</t>
  </si>
  <si>
    <t>RES-0005</t>
  </si>
  <si>
    <t>RES-0006</t>
  </si>
  <si>
    <t>RES-0007</t>
  </si>
  <si>
    <t>RES-0008</t>
  </si>
  <si>
    <t>RES-0009</t>
  </si>
  <si>
    <t>RES-0010</t>
  </si>
  <si>
    <t>RES-0011</t>
  </si>
  <si>
    <t>RES-0012</t>
  </si>
  <si>
    <t>RES-0013</t>
  </si>
  <si>
    <t>RES-0014</t>
  </si>
  <si>
    <t>RES-0015</t>
  </si>
  <si>
    <t>RES-0016</t>
  </si>
  <si>
    <t>RES-0017</t>
  </si>
  <si>
    <t>RES-0018</t>
  </si>
  <si>
    <t>RES-0019</t>
  </si>
  <si>
    <t>RES-0020</t>
  </si>
  <si>
    <t>RES-0021</t>
  </si>
  <si>
    <t>RES-0022</t>
  </si>
  <si>
    <t>RES-0023</t>
  </si>
  <si>
    <t>RES-0024</t>
  </si>
  <si>
    <t>RES-0025</t>
  </si>
  <si>
    <t>RES-0026</t>
  </si>
  <si>
    <t>RES-0027</t>
  </si>
  <si>
    <t>RES-0028</t>
  </si>
  <si>
    <t>RES-0029</t>
  </si>
  <si>
    <t>RES-0030</t>
  </si>
  <si>
    <t>RES-0031</t>
  </si>
  <si>
    <t>RES-0032</t>
  </si>
  <si>
    <t>RES-0033</t>
  </si>
  <si>
    <t>RES-0034</t>
  </si>
  <si>
    <t>RES-0035</t>
  </si>
  <si>
    <t>RES-0036</t>
  </si>
  <si>
    <t>RES-0037</t>
  </si>
  <si>
    <t>RES-0038</t>
  </si>
  <si>
    <t>RES-0039</t>
  </si>
  <si>
    <t>RES-0040</t>
  </si>
  <si>
    <t>RES-0041</t>
  </si>
  <si>
    <t>RES-0042</t>
  </si>
  <si>
    <t>RES-0043</t>
  </si>
  <si>
    <t>RES-0044</t>
  </si>
  <si>
    <t>RES-0045</t>
  </si>
  <si>
    <t>RES-0046</t>
  </si>
  <si>
    <t>RES-0047</t>
  </si>
  <si>
    <t>RES-0048</t>
  </si>
  <si>
    <t>RES-0049</t>
  </si>
  <si>
    <t>RES-0050</t>
  </si>
  <si>
    <t>RES-0051</t>
  </si>
  <si>
    <t>RES-0052</t>
  </si>
  <si>
    <t>RES-0053</t>
  </si>
  <si>
    <t>RES-0054</t>
  </si>
  <si>
    <t>RES-0055</t>
  </si>
  <si>
    <t>RES-0056</t>
  </si>
  <si>
    <t>RES-0057</t>
  </si>
  <si>
    <t>RES-0058</t>
  </si>
  <si>
    <t>RES-0059</t>
  </si>
  <si>
    <t>RES-0060</t>
  </si>
  <si>
    <t>RES-0061</t>
  </si>
  <si>
    <t>RES-0062</t>
  </si>
  <si>
    <t>RES-0063</t>
  </si>
  <si>
    <t>RES-0064</t>
  </si>
  <si>
    <t>RES-0065</t>
  </si>
  <si>
    <t>RES-0066</t>
  </si>
  <si>
    <t>RES-0067</t>
  </si>
  <si>
    <t>RES-0068</t>
  </si>
  <si>
    <t>RES-0069</t>
  </si>
  <si>
    <t>RES-0070</t>
  </si>
  <si>
    <t>RES-0071</t>
  </si>
  <si>
    <t>RES-0072</t>
  </si>
  <si>
    <t>RES-0073</t>
  </si>
  <si>
    <t>RES-0074</t>
  </si>
  <si>
    <t>RES-0075</t>
  </si>
  <si>
    <t>RES-0076</t>
  </si>
  <si>
    <t>RES-0077</t>
  </si>
  <si>
    <t>RES-0078</t>
  </si>
  <si>
    <t>RES-0079</t>
  </si>
  <si>
    <t>RES-0080</t>
  </si>
  <si>
    <t>RES-0081</t>
  </si>
  <si>
    <t>RES-0082</t>
  </si>
  <si>
    <t>RES-0083</t>
  </si>
  <si>
    <t>RES-0084</t>
  </si>
  <si>
    <t>RES-0085</t>
  </si>
  <si>
    <t>RES-0086</t>
  </si>
  <si>
    <t>RES-0087</t>
  </si>
  <si>
    <t>RES-0088</t>
  </si>
  <si>
    <t>RES-0089</t>
  </si>
  <si>
    <t>RES-0090</t>
  </si>
  <si>
    <t>RES-0091</t>
  </si>
  <si>
    <t>RES-0092</t>
  </si>
  <si>
    <t>RES-0093</t>
  </si>
  <si>
    <t>RES-0094</t>
  </si>
  <si>
    <t>RES-0095</t>
  </si>
  <si>
    <t>RES-0096</t>
  </si>
  <si>
    <t>RES-0097</t>
  </si>
  <si>
    <t>RES-0098</t>
  </si>
  <si>
    <t>RES-0099</t>
  </si>
  <si>
    <t>RES-0100</t>
  </si>
  <si>
    <t>FICHE NUMÉRIQUE DE CONTRÔLE BATEAU AVANT DÉPART</t>
  </si>
  <si>
    <t>N° contrôle</t>
  </si>
  <si>
    <t>Date sortie</t>
  </si>
  <si>
    <t>Bateau identifié</t>
  </si>
  <si>
    <t>Partenaire nautique</t>
  </si>
  <si>
    <t>Pilote présent</t>
  </si>
  <si>
    <t>Pilote qualifié</t>
  </si>
  <si>
    <t>Assurance valide</t>
  </si>
  <si>
    <t>Capacité max</t>
  </si>
  <si>
    <t>Passagers prévus</t>
  </si>
  <si>
    <t>Gilets suffisants</t>
  </si>
  <si>
    <t>Bouée disponible</t>
  </si>
  <si>
    <t>Trousse secours</t>
  </si>
  <si>
    <t>Moyen communication</t>
  </si>
  <si>
    <t>Météo</t>
  </si>
  <si>
    <t>Départ autorisé</t>
  </si>
  <si>
    <t>CTRL-0001</t>
  </si>
  <si>
    <t>CTRL-0002</t>
  </si>
  <si>
    <t>CTRL-0003</t>
  </si>
  <si>
    <t>CTRL-0004</t>
  </si>
  <si>
    <t>CTRL-0005</t>
  </si>
  <si>
    <t>CTRL-0006</t>
  </si>
  <si>
    <t>CTRL-0007</t>
  </si>
  <si>
    <t>CTRL-0008</t>
  </si>
  <si>
    <t>CTRL-0009</t>
  </si>
  <si>
    <t>CTRL-0010</t>
  </si>
  <si>
    <t>CTRL-0011</t>
  </si>
  <si>
    <t>CTRL-0012</t>
  </si>
  <si>
    <t>CTRL-0013</t>
  </si>
  <si>
    <t>CTRL-0014</t>
  </si>
  <si>
    <t>CTRL-0015</t>
  </si>
  <si>
    <t>CTRL-0016</t>
  </si>
  <si>
    <t>CTRL-0017</t>
  </si>
  <si>
    <t>CTRL-0018</t>
  </si>
  <si>
    <t>CTRL-0019</t>
  </si>
  <si>
    <t>CTRL-0020</t>
  </si>
  <si>
    <t>CTRL-0021</t>
  </si>
  <si>
    <t>CTRL-0022</t>
  </si>
  <si>
    <t>CTRL-0023</t>
  </si>
  <si>
    <t>CTRL-0024</t>
  </si>
  <si>
    <t>CTRL-0025</t>
  </si>
  <si>
    <t>CTRL-0026</t>
  </si>
  <si>
    <t>CTRL-0027</t>
  </si>
  <si>
    <t>CTRL-0028</t>
  </si>
  <si>
    <t>CTRL-0029</t>
  </si>
  <si>
    <t>CTRL-0030</t>
  </si>
  <si>
    <t>CTRL-0031</t>
  </si>
  <si>
    <t>CTRL-0032</t>
  </si>
  <si>
    <t>CTRL-0033</t>
  </si>
  <si>
    <t>CTRL-0034</t>
  </si>
  <si>
    <t>CTRL-0035</t>
  </si>
  <si>
    <t>CTRL-0036</t>
  </si>
  <si>
    <t>CTRL-0037</t>
  </si>
  <si>
    <t>CTRL-0038</t>
  </si>
  <si>
    <t>CTRL-0039</t>
  </si>
  <si>
    <t>CTRL-0040</t>
  </si>
  <si>
    <t>CTRL-0041</t>
  </si>
  <si>
    <t>CTRL-0042</t>
  </si>
  <si>
    <t>CTRL-0043</t>
  </si>
  <si>
    <t>CTRL-0044</t>
  </si>
  <si>
    <t>CTRL-0045</t>
  </si>
  <si>
    <t>CTRL-0046</t>
  </si>
  <si>
    <t>CTRL-0047</t>
  </si>
  <si>
    <t>CTRL-0048</t>
  </si>
  <si>
    <t>CTRL-0049</t>
  </si>
  <si>
    <t>CTRL-0050</t>
  </si>
  <si>
    <t>CTRL-0051</t>
  </si>
  <si>
    <t>CTRL-0052</t>
  </si>
  <si>
    <t>CTRL-0053</t>
  </si>
  <si>
    <t>CTRL-0054</t>
  </si>
  <si>
    <t>CTRL-0055</t>
  </si>
  <si>
    <t>CTRL-0056</t>
  </si>
  <si>
    <t>CTRL-0057</t>
  </si>
  <si>
    <t>CTRL-0058</t>
  </si>
  <si>
    <t>CTRL-0059</t>
  </si>
  <si>
    <t>CTRL-0060</t>
  </si>
  <si>
    <t>CTRL-0061</t>
  </si>
  <si>
    <t>CTRL-0062</t>
  </si>
  <si>
    <t>CTRL-0063</t>
  </si>
  <si>
    <t>CTRL-0064</t>
  </si>
  <si>
    <t>CTRL-0065</t>
  </si>
  <si>
    <t>CTRL-0066</t>
  </si>
  <si>
    <t>CTRL-0067</t>
  </si>
  <si>
    <t>CTRL-0068</t>
  </si>
  <si>
    <t>CTRL-0069</t>
  </si>
  <si>
    <t>CTRL-0070</t>
  </si>
  <si>
    <t>CTRL-0071</t>
  </si>
  <si>
    <t>CTRL-0072</t>
  </si>
  <si>
    <t>CTRL-0073</t>
  </si>
  <si>
    <t>CTRL-0074</t>
  </si>
  <si>
    <t>CTRL-0075</t>
  </si>
  <si>
    <t>CTRL-0076</t>
  </si>
  <si>
    <t>CTRL-0077</t>
  </si>
  <si>
    <t>CTRL-0078</t>
  </si>
  <si>
    <t>CTRL-0079</t>
  </si>
  <si>
    <t>CTRL-0080</t>
  </si>
  <si>
    <t>CTRL-0081</t>
  </si>
  <si>
    <t>CTRL-0082</t>
  </si>
  <si>
    <t>CTRL-0083</t>
  </si>
  <si>
    <t>CTRL-0084</t>
  </si>
  <si>
    <t>CTRL-0085</t>
  </si>
  <si>
    <t>CTRL-0086</t>
  </si>
  <si>
    <t>CTRL-0087</t>
  </si>
  <si>
    <t>CTRL-0088</t>
  </si>
  <si>
    <t>CTRL-0089</t>
  </si>
  <si>
    <t>CTRL-0090</t>
  </si>
  <si>
    <t>CTRL-0091</t>
  </si>
  <si>
    <t>CTRL-0092</t>
  </si>
  <si>
    <t>CTRL-0093</t>
  </si>
  <si>
    <t>CTRL-0094</t>
  </si>
  <si>
    <t>CTRL-0095</t>
  </si>
  <si>
    <t>CTRL-0096</t>
  </si>
  <si>
    <t>CTRL-0097</t>
  </si>
  <si>
    <t>CTRL-0098</t>
  </si>
  <si>
    <t>CTRL-0099</t>
  </si>
  <si>
    <t>CTRL-0100</t>
  </si>
  <si>
    <t>REGISTRE DES INCIDENTS, URGENCES ET SINISTRES</t>
  </si>
  <si>
    <t>N° incident</t>
  </si>
  <si>
    <t>Date/heure</t>
  </si>
  <si>
    <t>Lieu</t>
  </si>
  <si>
    <t>Prestation concernée</t>
  </si>
  <si>
    <t>Client/personnes concernées</t>
  </si>
  <si>
    <t>Nature incident</t>
  </si>
  <si>
    <t>Niveau</t>
  </si>
  <si>
    <t>Mesures immédiates</t>
  </si>
  <si>
    <t>Secours/autorités contactés</t>
  </si>
  <si>
    <t>Assureur informé</t>
  </si>
  <si>
    <t>Date déclaration assureur</t>
  </si>
  <si>
    <t>Responsable suivi</t>
  </si>
  <si>
    <t>Action corrective</t>
  </si>
  <si>
    <t>Coût estimé (FCFA)</t>
  </si>
  <si>
    <t>Remboursement assurance (FCFA)</t>
  </si>
  <si>
    <t>Impact net (FCFA)</t>
  </si>
  <si>
    <t>INC-0001</t>
  </si>
  <si>
    <t>INC-0002</t>
  </si>
  <si>
    <t>INC-0003</t>
  </si>
  <si>
    <t>INC-0004</t>
  </si>
  <si>
    <t>INC-0005</t>
  </si>
  <si>
    <t>INC-0006</t>
  </si>
  <si>
    <t>INC-0007</t>
  </si>
  <si>
    <t>INC-0008</t>
  </si>
  <si>
    <t>INC-0009</t>
  </si>
  <si>
    <t>INC-0010</t>
  </si>
  <si>
    <t>INC-0011</t>
  </si>
  <si>
    <t>INC-0012</t>
  </si>
  <si>
    <t>INC-0013</t>
  </si>
  <si>
    <t>INC-0014</t>
  </si>
  <si>
    <t>INC-0015</t>
  </si>
  <si>
    <t>INC-0016</t>
  </si>
  <si>
    <t>INC-0017</t>
  </si>
  <si>
    <t>INC-0018</t>
  </si>
  <si>
    <t>INC-0019</t>
  </si>
  <si>
    <t>INC-0020</t>
  </si>
  <si>
    <t>INC-0021</t>
  </si>
  <si>
    <t>INC-0022</t>
  </si>
  <si>
    <t>INC-0023</t>
  </si>
  <si>
    <t>INC-0024</t>
  </si>
  <si>
    <t>INC-0025</t>
  </si>
  <si>
    <t>INC-0026</t>
  </si>
  <si>
    <t>INC-0027</t>
  </si>
  <si>
    <t>INC-0028</t>
  </si>
  <si>
    <t>INC-0029</t>
  </si>
  <si>
    <t>INC-0030</t>
  </si>
  <si>
    <t>INC-0031</t>
  </si>
  <si>
    <t>INC-0032</t>
  </si>
  <si>
    <t>INC-0033</t>
  </si>
  <si>
    <t>INC-0034</t>
  </si>
  <si>
    <t>INC-0035</t>
  </si>
  <si>
    <t>INC-0036</t>
  </si>
  <si>
    <t>INC-0037</t>
  </si>
  <si>
    <t>INC-0038</t>
  </si>
  <si>
    <t>INC-0039</t>
  </si>
  <si>
    <t>INC-0040</t>
  </si>
  <si>
    <t>INC-0041</t>
  </si>
  <si>
    <t>INC-0042</t>
  </si>
  <si>
    <t>INC-0043</t>
  </si>
  <si>
    <t>INC-0044</t>
  </si>
  <si>
    <t>INC-0045</t>
  </si>
  <si>
    <t>INC-0046</t>
  </si>
  <si>
    <t>INC-0047</t>
  </si>
  <si>
    <t>INC-0048</t>
  </si>
  <si>
    <t>INC-0049</t>
  </si>
  <si>
    <t>INC-0050</t>
  </si>
  <si>
    <t>INC-0051</t>
  </si>
  <si>
    <t>INC-0052</t>
  </si>
  <si>
    <t>INC-0053</t>
  </si>
  <si>
    <t>INC-0054</t>
  </si>
  <si>
    <t>INC-0055</t>
  </si>
  <si>
    <t>INC-0056</t>
  </si>
  <si>
    <t>INC-0057</t>
  </si>
  <si>
    <t>INC-0058</t>
  </si>
  <si>
    <t>INC-0059</t>
  </si>
  <si>
    <t>INC-0060</t>
  </si>
  <si>
    <t>INC-0061</t>
  </si>
  <si>
    <t>INC-0062</t>
  </si>
  <si>
    <t>INC-0063</t>
  </si>
  <si>
    <t>INC-0064</t>
  </si>
  <si>
    <t>INC-0065</t>
  </si>
  <si>
    <t>INC-0066</t>
  </si>
  <si>
    <t>INC-0067</t>
  </si>
  <si>
    <t>INC-0068</t>
  </si>
  <si>
    <t>INC-0069</t>
  </si>
  <si>
    <t>INC-0070</t>
  </si>
  <si>
    <t>INC-0071</t>
  </si>
  <si>
    <t>INC-0072</t>
  </si>
  <si>
    <t>INC-0073</t>
  </si>
  <si>
    <t>INC-0074</t>
  </si>
  <si>
    <t>INC-0075</t>
  </si>
  <si>
    <t>INC-0076</t>
  </si>
  <si>
    <t>INC-0077</t>
  </si>
  <si>
    <t>INC-0078</t>
  </si>
  <si>
    <t>INC-0079</t>
  </si>
  <si>
    <t>INC-0080</t>
  </si>
  <si>
    <t>INC-0081</t>
  </si>
  <si>
    <t>INC-0082</t>
  </si>
  <si>
    <t>INC-0083</t>
  </si>
  <si>
    <t>INC-0084</t>
  </si>
  <si>
    <t>INC-0085</t>
  </si>
  <si>
    <t>INC-0086</t>
  </si>
  <si>
    <t>INC-0087</t>
  </si>
  <si>
    <t>INC-0088</t>
  </si>
  <si>
    <t>INC-0089</t>
  </si>
  <si>
    <t>INC-0090</t>
  </si>
  <si>
    <t>INC-0091</t>
  </si>
  <si>
    <t>INC-0092</t>
  </si>
  <si>
    <t>INC-0093</t>
  </si>
  <si>
    <t>INC-0094</t>
  </si>
  <si>
    <t>INC-0095</t>
  </si>
  <si>
    <t>INC-0096</t>
  </si>
  <si>
    <t>INC-0097</t>
  </si>
  <si>
    <t>INC-0098</t>
  </si>
  <si>
    <t>INC-0099</t>
  </si>
  <si>
    <t>INC-0100</t>
  </si>
  <si>
    <t>REGISTRE DES RÉCLAMATIONS CLIENTS</t>
  </si>
  <si>
    <t>N° réclamation</t>
  </si>
  <si>
    <t>Date réception</t>
  </si>
  <si>
    <t>Objet réclamation</t>
  </si>
  <si>
    <t>Description</t>
  </si>
  <si>
    <t>Pièces reçues</t>
  </si>
  <si>
    <t>Analyse interne</t>
  </si>
  <si>
    <t>Réponse proposée</t>
  </si>
  <si>
    <t>Date réponse</t>
  </si>
  <si>
    <t>Délai traitement (jours)</t>
  </si>
  <si>
    <t>Responsable</t>
  </si>
  <si>
    <t>REC-0001</t>
  </si>
  <si>
    <t>REC-0002</t>
  </si>
  <si>
    <t>REC-0003</t>
  </si>
  <si>
    <t>REC-0004</t>
  </si>
  <si>
    <t>REC-0005</t>
  </si>
  <si>
    <t>REC-0006</t>
  </si>
  <si>
    <t>REC-0007</t>
  </si>
  <si>
    <t>REC-0008</t>
  </si>
  <si>
    <t>REC-0009</t>
  </si>
  <si>
    <t>REC-0010</t>
  </si>
  <si>
    <t>REC-0011</t>
  </si>
  <si>
    <t>REC-0012</t>
  </si>
  <si>
    <t>REC-0013</t>
  </si>
  <si>
    <t>REC-0014</t>
  </si>
  <si>
    <t>REC-0015</t>
  </si>
  <si>
    <t>REC-0016</t>
  </si>
  <si>
    <t>REC-0017</t>
  </si>
  <si>
    <t>REC-0018</t>
  </si>
  <si>
    <t>REC-0019</t>
  </si>
  <si>
    <t>REC-0020</t>
  </si>
  <si>
    <t>REC-0021</t>
  </si>
  <si>
    <t>REC-0022</t>
  </si>
  <si>
    <t>REC-0023</t>
  </si>
  <si>
    <t>REC-0024</t>
  </si>
  <si>
    <t>REC-0025</t>
  </si>
  <si>
    <t>REC-0026</t>
  </si>
  <si>
    <t>REC-0027</t>
  </si>
  <si>
    <t>REC-0028</t>
  </si>
  <si>
    <t>REC-0029</t>
  </si>
  <si>
    <t>REC-0030</t>
  </si>
  <si>
    <t>REC-0031</t>
  </si>
  <si>
    <t>REC-0032</t>
  </si>
  <si>
    <t>REC-0033</t>
  </si>
  <si>
    <t>REC-0034</t>
  </si>
  <si>
    <t>REC-0035</t>
  </si>
  <si>
    <t>REC-0036</t>
  </si>
  <si>
    <t>REC-0037</t>
  </si>
  <si>
    <t>REC-0038</t>
  </si>
  <si>
    <t>REC-0039</t>
  </si>
  <si>
    <t>REC-0040</t>
  </si>
  <si>
    <t>REC-0041</t>
  </si>
  <si>
    <t>REC-0042</t>
  </si>
  <si>
    <t>REC-0043</t>
  </si>
  <si>
    <t>REC-0044</t>
  </si>
  <si>
    <t>REC-0045</t>
  </si>
  <si>
    <t>REC-0046</t>
  </si>
  <si>
    <t>REC-0047</t>
  </si>
  <si>
    <t>REC-0048</t>
  </si>
  <si>
    <t>REC-0049</t>
  </si>
  <si>
    <t>REC-0050</t>
  </si>
  <si>
    <t>REC-0051</t>
  </si>
  <si>
    <t>REC-0052</t>
  </si>
  <si>
    <t>REC-0053</t>
  </si>
  <si>
    <t>REC-0054</t>
  </si>
  <si>
    <t>REC-0055</t>
  </si>
  <si>
    <t>REC-0056</t>
  </si>
  <si>
    <t>REC-0057</t>
  </si>
  <si>
    <t>REC-0058</t>
  </si>
  <si>
    <t>REC-0059</t>
  </si>
  <si>
    <t>REC-0060</t>
  </si>
  <si>
    <t>REC-0061</t>
  </si>
  <si>
    <t>REC-0062</t>
  </si>
  <si>
    <t>REC-0063</t>
  </si>
  <si>
    <t>REC-0064</t>
  </si>
  <si>
    <t>REC-0065</t>
  </si>
  <si>
    <t>REC-0066</t>
  </si>
  <si>
    <t>REC-0067</t>
  </si>
  <si>
    <t>REC-0068</t>
  </si>
  <si>
    <t>REC-0069</t>
  </si>
  <si>
    <t>REC-0070</t>
  </si>
  <si>
    <t>REC-0071</t>
  </si>
  <si>
    <t>REC-0072</t>
  </si>
  <si>
    <t>REC-0073</t>
  </si>
  <si>
    <t>REC-0074</t>
  </si>
  <si>
    <t>REC-0075</t>
  </si>
  <si>
    <t>REC-0076</t>
  </si>
  <si>
    <t>REC-0077</t>
  </si>
  <si>
    <t>REC-0078</t>
  </si>
  <si>
    <t>REC-0079</t>
  </si>
  <si>
    <t>REC-0080</t>
  </si>
  <si>
    <t>REC-0081</t>
  </si>
  <si>
    <t>REC-0082</t>
  </si>
  <si>
    <t>REC-0083</t>
  </si>
  <si>
    <t>REC-0084</t>
  </si>
  <si>
    <t>REC-0085</t>
  </si>
  <si>
    <t>REC-0086</t>
  </si>
  <si>
    <t>REC-0087</t>
  </si>
  <si>
    <t>REC-0088</t>
  </si>
  <si>
    <t>REC-0089</t>
  </si>
  <si>
    <t>REC-0090</t>
  </si>
  <si>
    <t>REC-0091</t>
  </si>
  <si>
    <t>REC-0092</t>
  </si>
  <si>
    <t>REC-0093</t>
  </si>
  <si>
    <t>REC-0094</t>
  </si>
  <si>
    <t>REC-0095</t>
  </si>
  <si>
    <t>REC-0096</t>
  </si>
  <si>
    <t>REC-0097</t>
  </si>
  <si>
    <t>REC-0098</t>
  </si>
  <si>
    <t>REC-0099</t>
  </si>
  <si>
    <t>REC-0100</t>
  </si>
  <si>
    <t>REGISTRE DES PAIEMENTS, ENCAISSEMENTS ET RÈGLEMENTS PARTENAIRES</t>
  </si>
  <si>
    <t>N° mouvement</t>
  </si>
  <si>
    <t>Date</t>
  </si>
  <si>
    <t>Type flux</t>
  </si>
  <si>
    <t>Partenaire / Client</t>
  </si>
  <si>
    <t>Objet</t>
  </si>
  <si>
    <t>Référence paiement</t>
  </si>
  <si>
    <t>Montant entrée (FCFA)</t>
  </si>
  <si>
    <t>Montant sortie (FCFA)</t>
  </si>
  <si>
    <t>Solde net (FCFA)</t>
  </si>
  <si>
    <t>Justificatif disponible</t>
  </si>
  <si>
    <t>Validation interne</t>
  </si>
  <si>
    <t>Rapproché banque</t>
  </si>
  <si>
    <t>Date rapprochement</t>
  </si>
  <si>
    <t>MVT-0001</t>
  </si>
  <si>
    <t>MVT-0002</t>
  </si>
  <si>
    <t>MVT-0003</t>
  </si>
  <si>
    <t>MVT-0004</t>
  </si>
  <si>
    <t>MVT-0005</t>
  </si>
  <si>
    <t>MVT-0006</t>
  </si>
  <si>
    <t>MVT-0007</t>
  </si>
  <si>
    <t>MVT-0008</t>
  </si>
  <si>
    <t>MVT-0009</t>
  </si>
  <si>
    <t>MVT-0010</t>
  </si>
  <si>
    <t>MVT-0011</t>
  </si>
  <si>
    <t>MVT-0012</t>
  </si>
  <si>
    <t>MVT-0013</t>
  </si>
  <si>
    <t>MVT-0014</t>
  </si>
  <si>
    <t>MVT-0015</t>
  </si>
  <si>
    <t>MVT-0016</t>
  </si>
  <si>
    <t>MVT-0017</t>
  </si>
  <si>
    <t>MVT-0018</t>
  </si>
  <si>
    <t>MVT-0019</t>
  </si>
  <si>
    <t>MVT-0020</t>
  </si>
  <si>
    <t>MVT-0021</t>
  </si>
  <si>
    <t>MVT-0022</t>
  </si>
  <si>
    <t>MVT-0023</t>
  </si>
  <si>
    <t>MVT-0024</t>
  </si>
  <si>
    <t>MVT-0025</t>
  </si>
  <si>
    <t>MVT-0026</t>
  </si>
  <si>
    <t>MVT-0027</t>
  </si>
  <si>
    <t>MVT-0028</t>
  </si>
  <si>
    <t>MVT-0029</t>
  </si>
  <si>
    <t>MVT-0030</t>
  </si>
  <si>
    <t>MVT-0031</t>
  </si>
  <si>
    <t>MVT-0032</t>
  </si>
  <si>
    <t>MVT-0033</t>
  </si>
  <si>
    <t>MVT-0034</t>
  </si>
  <si>
    <t>MVT-0035</t>
  </si>
  <si>
    <t>MVT-0036</t>
  </si>
  <si>
    <t>MVT-0037</t>
  </si>
  <si>
    <t>MVT-0038</t>
  </si>
  <si>
    <t>MVT-0039</t>
  </si>
  <si>
    <t>MVT-0040</t>
  </si>
  <si>
    <t>MVT-0041</t>
  </si>
  <si>
    <t>MVT-0042</t>
  </si>
  <si>
    <t>MVT-0043</t>
  </si>
  <si>
    <t>MVT-0044</t>
  </si>
  <si>
    <t>MVT-0045</t>
  </si>
  <si>
    <t>MVT-0046</t>
  </si>
  <si>
    <t>MVT-0047</t>
  </si>
  <si>
    <t>MVT-0048</t>
  </si>
  <si>
    <t>MVT-0049</t>
  </si>
  <si>
    <t>MVT-0050</t>
  </si>
  <si>
    <t>MVT-0051</t>
  </si>
  <si>
    <t>MVT-0052</t>
  </si>
  <si>
    <t>MVT-0053</t>
  </si>
  <si>
    <t>MVT-0054</t>
  </si>
  <si>
    <t>MVT-0055</t>
  </si>
  <si>
    <t>MVT-0056</t>
  </si>
  <si>
    <t>MVT-0057</t>
  </si>
  <si>
    <t>MVT-0058</t>
  </si>
  <si>
    <t>MVT-0059</t>
  </si>
  <si>
    <t>MVT-0060</t>
  </si>
  <si>
    <t>MVT-0061</t>
  </si>
  <si>
    <t>MVT-0062</t>
  </si>
  <si>
    <t>MVT-0063</t>
  </si>
  <si>
    <t>MVT-0064</t>
  </si>
  <si>
    <t>MVT-0065</t>
  </si>
  <si>
    <t>MVT-0066</t>
  </si>
  <si>
    <t>MVT-0067</t>
  </si>
  <si>
    <t>MVT-0068</t>
  </si>
  <si>
    <t>MVT-0069</t>
  </si>
  <si>
    <t>MVT-0070</t>
  </si>
  <si>
    <t>MVT-0071</t>
  </si>
  <si>
    <t>MVT-0072</t>
  </si>
  <si>
    <t>MVT-0073</t>
  </si>
  <si>
    <t>MVT-0074</t>
  </si>
  <si>
    <t>MVT-0075</t>
  </si>
  <si>
    <t>MVT-0076</t>
  </si>
  <si>
    <t>MVT-0077</t>
  </si>
  <si>
    <t>MVT-0078</t>
  </si>
  <si>
    <t>MVT-0079</t>
  </si>
  <si>
    <t>MVT-0080</t>
  </si>
  <si>
    <t>MVT-0081</t>
  </si>
  <si>
    <t>MVT-0082</t>
  </si>
  <si>
    <t>MVT-0083</t>
  </si>
  <si>
    <t>MVT-0084</t>
  </si>
  <si>
    <t>MVT-0085</t>
  </si>
  <si>
    <t>MVT-0086</t>
  </si>
  <si>
    <t>MVT-0087</t>
  </si>
  <si>
    <t>MVT-0088</t>
  </si>
  <si>
    <t>MVT-0089</t>
  </si>
  <si>
    <t>MVT-0090</t>
  </si>
  <si>
    <t>MVT-0091</t>
  </si>
  <si>
    <t>MVT-0092</t>
  </si>
  <si>
    <t>MVT-0093</t>
  </si>
  <si>
    <t>MVT-0094</t>
  </si>
  <si>
    <t>MVT-0095</t>
  </si>
  <si>
    <t>MVT-0096</t>
  </si>
  <si>
    <t>MVT-0097</t>
  </si>
  <si>
    <t>MVT-0098</t>
  </si>
  <si>
    <t>MVT-0099</t>
  </si>
  <si>
    <t>MVT-0100</t>
  </si>
  <si>
    <t>MVT-0101</t>
  </si>
  <si>
    <t>MVT-0102</t>
  </si>
  <si>
    <t>MVT-0103</t>
  </si>
  <si>
    <t>MVT-0104</t>
  </si>
  <si>
    <t>MVT-0105</t>
  </si>
  <si>
    <t>MVT-0106</t>
  </si>
  <si>
    <t>MVT-0107</t>
  </si>
  <si>
    <t>MVT-0108</t>
  </si>
  <si>
    <t>MVT-0109</t>
  </si>
  <si>
    <t>MVT-0110</t>
  </si>
  <si>
    <t>MVT-0111</t>
  </si>
  <si>
    <t>MVT-0112</t>
  </si>
  <si>
    <t>MVT-0113</t>
  </si>
  <si>
    <t>MVT-0114</t>
  </si>
  <si>
    <t>MVT-0115</t>
  </si>
  <si>
    <t>MVT-0116</t>
  </si>
  <si>
    <t>MVT-0117</t>
  </si>
  <si>
    <t>MVT-0118</t>
  </si>
  <si>
    <t>MVT-0119</t>
  </si>
  <si>
    <t>MVT-0120</t>
  </si>
  <si>
    <t>MVT-0121</t>
  </si>
  <si>
    <t>MVT-0122</t>
  </si>
  <si>
    <t>MVT-0123</t>
  </si>
  <si>
    <t>MVT-0124</t>
  </si>
  <si>
    <t>MVT-0125</t>
  </si>
  <si>
    <t>MVT-0126</t>
  </si>
  <si>
    <t>MVT-0127</t>
  </si>
  <si>
    <t>MVT-0128</t>
  </si>
  <si>
    <t>MVT-0129</t>
  </si>
  <si>
    <t>MVT-0130</t>
  </si>
  <si>
    <t>MVT-0131</t>
  </si>
  <si>
    <t>MVT-0132</t>
  </si>
  <si>
    <t>MVT-0133</t>
  </si>
  <si>
    <t>MVT-0134</t>
  </si>
  <si>
    <t>MVT-0135</t>
  </si>
  <si>
    <t>MVT-0136</t>
  </si>
  <si>
    <t>MVT-0137</t>
  </si>
  <si>
    <t>MVT-0138</t>
  </si>
  <si>
    <t>MVT-0139</t>
  </si>
  <si>
    <t>MVT-0140</t>
  </si>
  <si>
    <t>MVT-0141</t>
  </si>
  <si>
    <t>MVT-0142</t>
  </si>
  <si>
    <t>MVT-0143</t>
  </si>
  <si>
    <t>MVT-0144</t>
  </si>
  <si>
    <t>MVT-0145</t>
  </si>
  <si>
    <t>MVT-0146</t>
  </si>
  <si>
    <t>MVT-0147</t>
  </si>
  <si>
    <t>MVT-0148</t>
  </si>
  <si>
    <t>MVT-0149</t>
  </si>
  <si>
    <t>MVT-0150</t>
  </si>
  <si>
    <t>MVT-0151</t>
  </si>
  <si>
    <t>MVT-0152</t>
  </si>
  <si>
    <t>MVT-0153</t>
  </si>
  <si>
    <t>MVT-0154</t>
  </si>
  <si>
    <t>MVT-0155</t>
  </si>
  <si>
    <t>MVT-0156</t>
  </si>
  <si>
    <t>MVT-0157</t>
  </si>
  <si>
    <t>MVT-0158</t>
  </si>
  <si>
    <t>MVT-0159</t>
  </si>
  <si>
    <t>MVT-0160</t>
  </si>
  <si>
    <t>MVT-0161</t>
  </si>
  <si>
    <t>MVT-0162</t>
  </si>
  <si>
    <t>MVT-0163</t>
  </si>
  <si>
    <t>MVT-0164</t>
  </si>
  <si>
    <t>MVT-0165</t>
  </si>
  <si>
    <t>MVT-0166</t>
  </si>
  <si>
    <t>MVT-0167</t>
  </si>
  <si>
    <t>MVT-0168</t>
  </si>
  <si>
    <t>MVT-0169</t>
  </si>
  <si>
    <t>MVT-0170</t>
  </si>
  <si>
    <t>MVT-0171</t>
  </si>
  <si>
    <t>MVT-0172</t>
  </si>
  <si>
    <t>MVT-0173</t>
  </si>
  <si>
    <t>MVT-0174</t>
  </si>
  <si>
    <t>MVT-0175</t>
  </si>
  <si>
    <t>MVT-0176</t>
  </si>
  <si>
    <t>MVT-0177</t>
  </si>
  <si>
    <t>MVT-0178</t>
  </si>
  <si>
    <t>MVT-0179</t>
  </si>
  <si>
    <t>MVT-0180</t>
  </si>
  <si>
    <t>MVT-0181</t>
  </si>
  <si>
    <t>MVT-0182</t>
  </si>
  <si>
    <t>MVT-0183</t>
  </si>
  <si>
    <t>MVT-0184</t>
  </si>
  <si>
    <t>MVT-0185</t>
  </si>
  <si>
    <t>MVT-0186</t>
  </si>
  <si>
    <t>MVT-0187</t>
  </si>
  <si>
    <t>MVT-0188</t>
  </si>
  <si>
    <t>MVT-0189</t>
  </si>
  <si>
    <t>MVT-0190</t>
  </si>
  <si>
    <t>MVT-0191</t>
  </si>
  <si>
    <t>MVT-0192</t>
  </si>
  <si>
    <t>MVT-0193</t>
  </si>
  <si>
    <t>MVT-0194</t>
  </si>
  <si>
    <t>MVT-0195</t>
  </si>
  <si>
    <t>MVT-0196</t>
  </si>
  <si>
    <t>MVT-0197</t>
  </si>
  <si>
    <t>MVT-0198</t>
  </si>
  <si>
    <t>MVT-0199</t>
  </si>
  <si>
    <t>MVT-0200</t>
  </si>
  <si>
    <t>REGISTRE DES PARTENAIRES NAUTIQUES, TRAITEURS ET PRESTATAIRES</t>
  </si>
  <si>
    <t>Code partenaire</t>
  </si>
  <si>
    <t>Type partenaire</t>
  </si>
  <si>
    <t>Nom / Raison sociale</t>
  </si>
  <si>
    <t>Contact</t>
  </si>
  <si>
    <t>RCCM / Identifiant</t>
  </si>
  <si>
    <t>Document fourni</t>
  </si>
  <si>
    <t>Assurance / conformité</t>
  </si>
  <si>
    <t>Date signature convention</t>
  </si>
  <si>
    <t>Date expiration</t>
  </si>
  <si>
    <t>Tarif convenu</t>
  </si>
  <si>
    <t>Disponibilité prioritaire</t>
  </si>
  <si>
    <t>Dernière évaluation</t>
  </si>
  <si>
    <t>Note qualité /5</t>
  </si>
  <si>
    <t>Incidents liés</t>
  </si>
  <si>
    <t>PAR-0001</t>
  </si>
  <si>
    <t>PAR-0002</t>
  </si>
  <si>
    <t>PAR-0003</t>
  </si>
  <si>
    <t>PAR-0004</t>
  </si>
  <si>
    <t>PAR-0005</t>
  </si>
  <si>
    <t>PAR-0006</t>
  </si>
  <si>
    <t>PAR-0007</t>
  </si>
  <si>
    <t>PAR-0008</t>
  </si>
  <si>
    <t>PAR-0009</t>
  </si>
  <si>
    <t>PAR-0010</t>
  </si>
  <si>
    <t>PAR-0011</t>
  </si>
  <si>
    <t>PAR-0012</t>
  </si>
  <si>
    <t>PAR-0013</t>
  </si>
  <si>
    <t>PAR-0014</t>
  </si>
  <si>
    <t>PAR-0015</t>
  </si>
  <si>
    <t>PAR-0016</t>
  </si>
  <si>
    <t>PAR-0017</t>
  </si>
  <si>
    <t>PAR-0018</t>
  </si>
  <si>
    <t>PAR-0019</t>
  </si>
  <si>
    <t>PAR-0020</t>
  </si>
  <si>
    <t>PAR-0021</t>
  </si>
  <si>
    <t>PAR-0022</t>
  </si>
  <si>
    <t>PAR-0023</t>
  </si>
  <si>
    <t>PAR-0024</t>
  </si>
  <si>
    <t>PAR-0025</t>
  </si>
  <si>
    <t>PAR-0026</t>
  </si>
  <si>
    <t>PAR-0027</t>
  </si>
  <si>
    <t>PAR-0028</t>
  </si>
  <si>
    <t>PAR-0029</t>
  </si>
  <si>
    <t>PAR-0030</t>
  </si>
  <si>
    <t>PAR-0031</t>
  </si>
  <si>
    <t>PAR-0032</t>
  </si>
  <si>
    <t>PAR-0033</t>
  </si>
  <si>
    <t>PAR-0034</t>
  </si>
  <si>
    <t>PAR-0035</t>
  </si>
  <si>
    <t>PAR-0036</t>
  </si>
  <si>
    <t>PAR-0037</t>
  </si>
  <si>
    <t>PAR-0038</t>
  </si>
  <si>
    <t>PAR-0039</t>
  </si>
  <si>
    <t>PAR-0040</t>
  </si>
  <si>
    <t>PAR-0041</t>
  </si>
  <si>
    <t>PAR-0042</t>
  </si>
  <si>
    <t>PAR-0043</t>
  </si>
  <si>
    <t>PAR-0044</t>
  </si>
  <si>
    <t>PAR-0045</t>
  </si>
  <si>
    <t>PAR-0046</t>
  </si>
  <si>
    <t>PAR-0047</t>
  </si>
  <si>
    <t>PAR-0048</t>
  </si>
  <si>
    <t>PAR-0049</t>
  </si>
  <si>
    <t>PAR-0050</t>
  </si>
  <si>
    <t>PAR-0051</t>
  </si>
  <si>
    <t>PAR-0052</t>
  </si>
  <si>
    <t>PAR-0053</t>
  </si>
  <si>
    <t>PAR-0054</t>
  </si>
  <si>
    <t>PAR-0055</t>
  </si>
  <si>
    <t>PAR-0056</t>
  </si>
  <si>
    <t>PAR-0057</t>
  </si>
  <si>
    <t>PAR-0058</t>
  </si>
  <si>
    <t>PAR-0059</t>
  </si>
  <si>
    <t>PAR-0060</t>
  </si>
  <si>
    <t>PAR-0061</t>
  </si>
  <si>
    <t>PAR-0062</t>
  </si>
  <si>
    <t>PAR-0063</t>
  </si>
  <si>
    <t>PAR-0064</t>
  </si>
  <si>
    <t>PAR-0065</t>
  </si>
  <si>
    <t>PAR-0066</t>
  </si>
  <si>
    <t>PAR-0067</t>
  </si>
  <si>
    <t>PAR-0068</t>
  </si>
  <si>
    <t>PAR-0069</t>
  </si>
  <si>
    <t>PAR-0070</t>
  </si>
  <si>
    <t>PAR-0071</t>
  </si>
  <si>
    <t>PAR-0072</t>
  </si>
  <si>
    <t>PAR-0073</t>
  </si>
  <si>
    <t>PAR-0074</t>
  </si>
  <si>
    <t>PAR-0075</t>
  </si>
  <si>
    <t>PAR-0076</t>
  </si>
  <si>
    <t>PAR-0077</t>
  </si>
  <si>
    <t>PAR-0078</t>
  </si>
  <si>
    <t>PAR-0079</t>
  </si>
  <si>
    <t>PAR-0080</t>
  </si>
  <si>
    <t>PAR-0081</t>
  </si>
  <si>
    <t>PAR-0082</t>
  </si>
  <si>
    <t>PAR-0083</t>
  </si>
  <si>
    <t>PAR-0084</t>
  </si>
  <si>
    <t>PAR-0085</t>
  </si>
  <si>
    <t>PAR-0086</t>
  </si>
  <si>
    <t>PAR-0087</t>
  </si>
  <si>
    <t>PAR-0088</t>
  </si>
  <si>
    <t>PAR-0089</t>
  </si>
  <si>
    <t>PAR-0090</t>
  </si>
  <si>
    <t>PAR-0091</t>
  </si>
  <si>
    <t>PAR-0092</t>
  </si>
  <si>
    <t>PAR-0093</t>
  </si>
  <si>
    <t>PAR-0094</t>
  </si>
  <si>
    <t>PAR-0095</t>
  </si>
  <si>
    <t>PAR-0096</t>
  </si>
  <si>
    <t>PAR-0097</t>
  </si>
  <si>
    <t>PAR-0098</t>
  </si>
  <si>
    <t>PAR-0099</t>
  </si>
  <si>
    <t>PAR-0100</t>
  </si>
  <si>
    <t>REGISTRE DES ASSURANCES ET SINISTRES DÉCLARÉS</t>
  </si>
  <si>
    <t>N° police</t>
  </si>
  <si>
    <t>Assureur</t>
  </si>
  <si>
    <t>Type couverture</t>
  </si>
  <si>
    <t>Objet couvert</t>
  </si>
  <si>
    <t>Capital assuré (FCFA)</t>
  </si>
  <si>
    <t>Prime annuelle (FCFA)</t>
  </si>
  <si>
    <t>Date effet</t>
  </si>
  <si>
    <t>Attestation disponible</t>
  </si>
  <si>
    <t>Contact assureur</t>
  </si>
  <si>
    <t>Sinistre lié</t>
  </si>
  <si>
    <t>Date déclaration</t>
  </si>
  <si>
    <t>Montant déclaré</t>
  </si>
  <si>
    <t>Montant indemnisé</t>
  </si>
  <si>
    <t>Reste à charge</t>
  </si>
  <si>
    <t>POL-001</t>
  </si>
  <si>
    <t>RC Professionnelle</t>
  </si>
  <si>
    <t>Responsabilité civile exploitation / tiers / clients</t>
  </si>
  <si>
    <t>À souscrire</t>
  </si>
  <si>
    <t>POL-002</t>
  </si>
  <si>
    <t>Assurance Passagers</t>
  </si>
  <si>
    <t>Décès accidentel, invalidité, frais médicaux, assistance</t>
  </si>
  <si>
    <t>POL-003</t>
  </si>
  <si>
    <t>Assurance Événementielle</t>
  </si>
  <si>
    <t>Annulation, interruption, responsabilité événementielle</t>
  </si>
  <si>
    <t>POL-004</t>
  </si>
  <si>
    <t>Assurance Matériel</t>
  </si>
  <si>
    <t>Équipements professionnels, événementiels, digitaux</t>
  </si>
  <si>
    <t>POL-005</t>
  </si>
  <si>
    <t>Cyber-risque</t>
  </si>
  <si>
    <t>Données clients et outils numériques</t>
  </si>
  <si>
    <t>Optionnelle</t>
  </si>
  <si>
    <t>POL-006</t>
  </si>
  <si>
    <t>POL-007</t>
  </si>
  <si>
    <t>POL-008</t>
  </si>
  <si>
    <t>POL-009</t>
  </si>
  <si>
    <t>POL-010</t>
  </si>
  <si>
    <t>POL-011</t>
  </si>
  <si>
    <t>POL-012</t>
  </si>
  <si>
    <t>POL-013</t>
  </si>
  <si>
    <t>POL-014</t>
  </si>
  <si>
    <t>POL-015</t>
  </si>
  <si>
    <t>POL-016</t>
  </si>
  <si>
    <t>POL-017</t>
  </si>
  <si>
    <t>POL-018</t>
  </si>
  <si>
    <t>POL-019</t>
  </si>
  <si>
    <t>POL-020</t>
  </si>
  <si>
    <t>POL-021</t>
  </si>
  <si>
    <t>POL-022</t>
  </si>
  <si>
    <t>POL-023</t>
  </si>
  <si>
    <t>POL-024</t>
  </si>
  <si>
    <t>POL-025</t>
  </si>
  <si>
    <t>POL-026</t>
  </si>
  <si>
    <t>POL-027</t>
  </si>
  <si>
    <t>POL-028</t>
  </si>
  <si>
    <t>POL-029</t>
  </si>
  <si>
    <t>POL-030</t>
  </si>
  <si>
    <t>POL-031</t>
  </si>
  <si>
    <t>POL-032</t>
  </si>
  <si>
    <t>POL-033</t>
  </si>
  <si>
    <t>POL-034</t>
  </si>
  <si>
    <t>POL-035</t>
  </si>
  <si>
    <t>POL-036</t>
  </si>
  <si>
    <t>POL-037</t>
  </si>
  <si>
    <t>POL-038</t>
  </si>
  <si>
    <t>POL-039</t>
  </si>
  <si>
    <t>POL-040</t>
  </si>
  <si>
    <t>POL-041</t>
  </si>
  <si>
    <t>POL-042</t>
  </si>
  <si>
    <t>POL-043</t>
  </si>
  <si>
    <t>POL-044</t>
  </si>
  <si>
    <t>POL-045</t>
  </si>
  <si>
    <t>POL-046</t>
  </si>
  <si>
    <t>POL-047</t>
  </si>
  <si>
    <t>POL-048</t>
  </si>
  <si>
    <t>POL-049</t>
  </si>
  <si>
    <t>POL-050</t>
  </si>
  <si>
    <t>TABLEAU DE BORD MENSUEL – EXPLOITATION ET REPORTING BANCAIRE</t>
  </si>
  <si>
    <t>Indicateur</t>
  </si>
  <si>
    <t>Janv.</t>
  </si>
  <si>
    <t>Févr.</t>
  </si>
  <si>
    <t>Mars</t>
  </si>
  <si>
    <t>Avr.</t>
  </si>
  <si>
    <t>Mai</t>
  </si>
  <si>
    <t>Juin</t>
  </si>
  <si>
    <t>Juil.</t>
  </si>
  <si>
    <t>Août</t>
  </si>
  <si>
    <t>Sept.</t>
  </si>
  <si>
    <t>Oct.</t>
  </si>
  <si>
    <t>Nov.</t>
  </si>
  <si>
    <t>Déc.</t>
  </si>
  <si>
    <t>Total / Moyenne</t>
  </si>
  <si>
    <t>Nombre de réservations</t>
  </si>
  <si>
    <t>Nombre de sorties réalisées</t>
  </si>
  <si>
    <t>Chiffre d’affaires encaissé (FCFA)</t>
  </si>
  <si>
    <t>Dépenses payées (FCFA)</t>
  </si>
  <si>
    <t>Solde net de trésorerie (FCFA)</t>
  </si>
  <si>
    <t>Réclamations reçues</t>
  </si>
  <si>
    <t>Réclamations clôturées</t>
  </si>
  <si>
    <t>Incidents mineurs</t>
  </si>
  <si>
    <t>Incidents significatifs</t>
  </si>
  <si>
    <t>Incidents graves</t>
  </si>
  <si>
    <t>Taux de satisfaction moyen</t>
  </si>
  <si>
    <t>Taux de ponctualité</t>
  </si>
  <si>
    <t>Échéance bancaire payée ?</t>
  </si>
  <si>
    <t>Synthèse pour reporting bancaire</t>
  </si>
  <si>
    <t>KPI</t>
  </si>
  <si>
    <t>Seuil / Lecture</t>
  </si>
  <si>
    <t>Commentaire</t>
  </si>
  <si>
    <t>CA encaissé annuel</t>
  </si>
  <si>
    <t>Suivi des recettes</t>
  </si>
  <si>
    <t>Solde net annuel</t>
  </si>
  <si>
    <t>Recettes - sorties</t>
  </si>
  <si>
    <t>Réclamations ouvertes</t>
  </si>
  <si>
    <t>À traiter sous 72h</t>
  </si>
  <si>
    <t>Objectif 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</si>
</sst>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\-"/>
    <numFmt numFmtId="165" formatCode="0.0"/>
  </numFmts>
  <fonts count="6">
    <font>
      <sz val="11"/>
      <name val="Carlito"/>
    </font>
    <font>
      <b/>
      <sz val="14"/>
      <color rgb="FFFFFFFF"/>
      <name val="Carlito"/>
    </font>
    <font>
      <i/>
      <sz val="11"/>
      <color rgb="FF555555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2F4F"/>
      </patternFill>
    </fill>
    <fill>
      <patternFill patternType="solid">
        <fgColor rgb="FFF3F6FA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9" fontId="0" fillId="0" borderId="0" xfId="0" applyNumberFormat="1"/>
    <xf numFmtId="14" fontId="0" fillId="0" borderId="0" xfId="0" applyNumberFormat="1"/>
    <xf numFmtId="0" fontId="4" fillId="5" borderId="0" xfId="0" applyFont="1" applyFill="1" applyAlignment="1">
      <alignment wrapText="1"/>
    </xf>
    <xf numFmtId="164" fontId="0" fillId="0" borderId="0" xfId="0" applyNumberFormat="1"/>
    <xf numFmtId="1" fontId="0" fillId="0" borderId="0" xfId="0" applyNumberFormat="1"/>
    <xf numFmtId="22" fontId="0" fillId="0" borderId="0" xfId="0" applyNumberFormat="1"/>
    <xf numFmtId="165" fontId="0" fillId="0" borderId="0" xfId="0" applyNumberFormat="1"/>
    <xf numFmtId="0" fontId="5" fillId="5" borderId="0" xfId="0" applyFont="1" applyFill="1" applyAlignment="1">
      <alignment wrapText="1"/>
    </xf>
    <xf numFmtId="9" fontId="5" fillId="5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</cellXfs>
  <cellStyles count="1">
    <cellStyle name="Normal" xfId="0" builtinId="0"/>
  </cellStyles>
  <dxfs count="13"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ont>
        <color rgb="FFC00000"/>
      </font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servations" displayName="TblReservations" ref="A4:R104">
  <tableColumns count="18">
    <tableColumn id="1" xr3:uid="{00000000-0010-0000-0000-000001000000}" name="N° réservation"/>
    <tableColumn id="2" xr3:uid="{00000000-0010-0000-0000-000002000000}" name="Date demande"/>
    <tableColumn id="3" xr3:uid="{00000000-0010-0000-0000-000003000000}" name="Canal"/>
    <tableColumn id="4" xr3:uid="{00000000-0010-0000-0000-000004000000}" name="Nom client"/>
    <tableColumn id="5" xr3:uid="{00000000-0010-0000-0000-000005000000}" name="Téléphone/WhatsApp"/>
    <tableColumn id="6" xr3:uid="{00000000-0010-0000-0000-000006000000}" name="Email"/>
    <tableColumn id="7" xr3:uid="{00000000-0010-0000-0000-000007000000}" name="Type prestation"/>
    <tableColumn id="8" xr3:uid="{00000000-0010-0000-0000-000008000000}" name="Date prestation"/>
    <tableColumn id="9" xr3:uid="{00000000-0010-0000-0000-000009000000}" name="Heure"/>
    <tableColumn id="10" xr3:uid="{00000000-0010-0000-0000-00000A000000}" name="Nb participants"/>
    <tableColumn id="11" xr3:uid="{00000000-0010-0000-0000-00000B000000}" name="Options demandées"/>
    <tableColumn id="12" xr3:uid="{00000000-0010-0000-0000-00000C000000}" name="Montant convenu (FCFA)"/>
    <tableColumn id="13" xr3:uid="{00000000-0010-0000-0000-00000D000000}" name="Acompte payé (FCFA)"/>
    <tableColumn id="14" xr3:uid="{00000000-0010-0000-0000-00000E000000}" name="Solde restant (FCFA)"/>
    <tableColumn id="15" xr3:uid="{00000000-0010-0000-0000-00000F000000}" name="Mode paiement"/>
    <tableColumn id="16" xr3:uid="{00000000-0010-0000-0000-000010000000}" name="Bateau / partenaire"/>
    <tableColumn id="17" xr3:uid="{00000000-0010-0000-0000-000011000000}" name="Statut"/>
    <tableColumn id="18" xr3:uid="{00000000-0010-0000-0000-000012000000}" name="Observ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ontroleBateau" displayName="TblControleBateau" ref="A4:Q104">
  <tableColumns count="17">
    <tableColumn id="1" xr3:uid="{00000000-0010-0000-0100-000001000000}" name="N° contrôle"/>
    <tableColumn id="2" xr3:uid="{00000000-0010-0000-0100-000002000000}" name="Date sortie"/>
    <tableColumn id="3" xr3:uid="{00000000-0010-0000-0100-000003000000}" name="N° réservation"/>
    <tableColumn id="4" xr3:uid="{00000000-0010-0000-0100-000004000000}" name="Bateau identifié"/>
    <tableColumn id="5" xr3:uid="{00000000-0010-0000-0100-000005000000}" name="Partenaire nautique"/>
    <tableColumn id="6" xr3:uid="{00000000-0010-0000-0100-000006000000}" name="Pilote présent"/>
    <tableColumn id="7" xr3:uid="{00000000-0010-0000-0100-000007000000}" name="Pilote qualifié"/>
    <tableColumn id="8" xr3:uid="{00000000-0010-0000-0100-000008000000}" name="Assurance valide"/>
    <tableColumn id="9" xr3:uid="{00000000-0010-0000-0100-000009000000}" name="Capacité max"/>
    <tableColumn id="10" xr3:uid="{00000000-0010-0000-0100-00000A000000}" name="Passagers prévus"/>
    <tableColumn id="11" xr3:uid="{00000000-0010-0000-0100-00000B000000}" name="Gilets suffisants"/>
    <tableColumn id="12" xr3:uid="{00000000-0010-0000-0100-00000C000000}" name="Bouée disponible"/>
    <tableColumn id="13" xr3:uid="{00000000-0010-0000-0100-00000D000000}" name="Trousse secours"/>
    <tableColumn id="14" xr3:uid="{00000000-0010-0000-0100-00000E000000}" name="Moyen communication"/>
    <tableColumn id="15" xr3:uid="{00000000-0010-0000-0100-00000F000000}" name="Météo"/>
    <tableColumn id="16" xr3:uid="{00000000-0010-0000-0100-000010000000}" name="Départ autorisé"/>
    <tableColumn id="17" xr3:uid="{00000000-0010-0000-0100-000011000000}" name="Observ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Incidents" displayName="TblIncidents" ref="A4:S104">
  <tableColumns count="19">
    <tableColumn id="1" xr3:uid="{00000000-0010-0000-0200-000001000000}" name="N° incident"/>
    <tableColumn id="2" xr3:uid="{00000000-0010-0000-0200-000002000000}" name="Date/heure"/>
    <tableColumn id="3" xr3:uid="{00000000-0010-0000-0200-000003000000}" name="N° réservation"/>
    <tableColumn id="4" xr3:uid="{00000000-0010-0000-0200-000004000000}" name="Lieu"/>
    <tableColumn id="5" xr3:uid="{00000000-0010-0000-0200-000005000000}" name="Prestation concernée"/>
    <tableColumn id="6" xr3:uid="{00000000-0010-0000-0200-000006000000}" name="Client/personnes concernées"/>
    <tableColumn id="7" xr3:uid="{00000000-0010-0000-0200-000007000000}" name="Nature incident"/>
    <tableColumn id="8" xr3:uid="{00000000-0010-0000-0200-000008000000}" name="Niveau"/>
    <tableColumn id="9" xr3:uid="{00000000-0010-0000-0200-000009000000}" name="Mesures immédiates"/>
    <tableColumn id="10" xr3:uid="{00000000-0010-0000-0200-00000A000000}" name="Secours/autorités contactés"/>
    <tableColumn id="11" xr3:uid="{00000000-0010-0000-0200-00000B000000}" name="Assureur informé"/>
    <tableColumn id="12" xr3:uid="{00000000-0010-0000-0200-00000C000000}" name="Date déclaration assureur"/>
    <tableColumn id="13" xr3:uid="{00000000-0010-0000-0200-00000D000000}" name="Responsable suivi"/>
    <tableColumn id="14" xr3:uid="{00000000-0010-0000-0200-00000E000000}" name="Action corrective"/>
    <tableColumn id="15" xr3:uid="{00000000-0010-0000-0200-00000F000000}" name="Statut"/>
    <tableColumn id="16" xr3:uid="{00000000-0010-0000-0200-000010000000}" name="Coût estimé (FCFA)"/>
    <tableColumn id="17" xr3:uid="{00000000-0010-0000-0200-000011000000}" name="Remboursement assurance (FCFA)"/>
    <tableColumn id="18" xr3:uid="{00000000-0010-0000-0200-000012000000}" name="Impact net (FCFA)"/>
    <tableColumn id="19" xr3:uid="{00000000-0010-0000-0200-000013000000}" name="Observ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eclamations" displayName="TblReclamations" ref="A4:P104">
  <tableColumns count="16">
    <tableColumn id="1" xr3:uid="{00000000-0010-0000-0300-000001000000}" name="N° réclamation"/>
    <tableColumn id="2" xr3:uid="{00000000-0010-0000-0300-000002000000}" name="Date réception"/>
    <tableColumn id="3" xr3:uid="{00000000-0010-0000-0300-000003000000}" name="N° réservation"/>
    <tableColumn id="4" xr3:uid="{00000000-0010-0000-0300-000004000000}" name="Nom client"/>
    <tableColumn id="5" xr3:uid="{00000000-0010-0000-0300-000005000000}" name="Date prestation"/>
    <tableColumn id="6" xr3:uid="{00000000-0010-0000-0300-000006000000}" name="Objet réclamation"/>
    <tableColumn id="7" xr3:uid="{00000000-0010-0000-0300-000007000000}" name="Description"/>
    <tableColumn id="8" xr3:uid="{00000000-0010-0000-0300-000008000000}" name="Pièces reçues"/>
    <tableColumn id="9" xr3:uid="{00000000-0010-0000-0300-000009000000}" name="Analyse interne"/>
    <tableColumn id="10" xr3:uid="{00000000-0010-0000-0300-00000A000000}" name="Réponse proposée"/>
    <tableColumn id="11" xr3:uid="{00000000-0010-0000-0300-00000B000000}" name="Date réponse"/>
    <tableColumn id="12" xr3:uid="{00000000-0010-0000-0300-00000C000000}" name="Délai traitement (jours)"/>
    <tableColumn id="13" xr3:uid="{00000000-0010-0000-0300-00000D000000}" name="Statut"/>
    <tableColumn id="14" xr3:uid="{00000000-0010-0000-0300-00000E000000}" name="Action corrective"/>
    <tableColumn id="15" xr3:uid="{00000000-0010-0000-0300-00000F000000}" name="Responsable"/>
    <tableColumn id="16" xr3:uid="{00000000-0010-0000-0300-000010000000}" name="Observ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aiements" displayName="TblPaiements" ref="A4:Q204">
  <tableColumns count="17">
    <tableColumn id="1" xr3:uid="{00000000-0010-0000-0400-000001000000}" name="N° mouvement"/>
    <tableColumn id="2" xr3:uid="{00000000-0010-0000-0400-000002000000}" name="Date"/>
    <tableColumn id="3" xr3:uid="{00000000-0010-0000-0400-000003000000}" name="Type flux"/>
    <tableColumn id="4" xr3:uid="{00000000-0010-0000-0400-000004000000}" name="N° réservation"/>
    <tableColumn id="5" xr3:uid="{00000000-0010-0000-0400-000005000000}" name="Partenaire / Client"/>
    <tableColumn id="6" xr3:uid="{00000000-0010-0000-0400-000006000000}" name="Objet"/>
    <tableColumn id="7" xr3:uid="{00000000-0010-0000-0400-000007000000}" name="Mode paiement"/>
    <tableColumn id="8" xr3:uid="{00000000-0010-0000-0400-000008000000}" name="Référence paiement"/>
    <tableColumn id="9" xr3:uid="{00000000-0010-0000-0400-000009000000}" name="Montant entrée (FCFA)"/>
    <tableColumn id="10" xr3:uid="{00000000-0010-0000-0400-00000A000000}" name="Montant sortie (FCFA)"/>
    <tableColumn id="11" xr3:uid="{00000000-0010-0000-0400-00000B000000}" name="Solde net (FCFA)"/>
    <tableColumn id="12" xr3:uid="{00000000-0010-0000-0400-00000C000000}" name="Justificatif disponible"/>
    <tableColumn id="13" xr3:uid="{00000000-0010-0000-0400-00000D000000}" name="Validation interne"/>
    <tableColumn id="14" xr3:uid="{00000000-0010-0000-0400-00000E000000}" name="Responsable"/>
    <tableColumn id="15" xr3:uid="{00000000-0010-0000-0400-00000F000000}" name="Rapproché banque"/>
    <tableColumn id="16" xr3:uid="{00000000-0010-0000-0400-000010000000}" name="Date rapprochement"/>
    <tableColumn id="17" xr3:uid="{00000000-0010-0000-0400-000011000000}" name="Observatio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Partenaires" displayName="TblPartenaires" ref="A4:Q104">
  <tableColumns count="17">
    <tableColumn id="1" xr3:uid="{00000000-0010-0000-0500-000001000000}" name="Code partenaire"/>
    <tableColumn id="2" xr3:uid="{00000000-0010-0000-0500-000002000000}" name="Type partenaire"/>
    <tableColumn id="3" xr3:uid="{00000000-0010-0000-0500-000003000000}" name="Nom / Raison sociale"/>
    <tableColumn id="4" xr3:uid="{00000000-0010-0000-0500-000004000000}" name="Contact"/>
    <tableColumn id="5" xr3:uid="{00000000-0010-0000-0500-000005000000}" name="Email"/>
    <tableColumn id="6" xr3:uid="{00000000-0010-0000-0500-000006000000}" name="RCCM / Identifiant"/>
    <tableColumn id="7" xr3:uid="{00000000-0010-0000-0500-000007000000}" name="Document fourni"/>
    <tableColumn id="8" xr3:uid="{00000000-0010-0000-0500-000008000000}" name="Assurance / conformité"/>
    <tableColumn id="9" xr3:uid="{00000000-0010-0000-0500-000009000000}" name="Date signature convention"/>
    <tableColumn id="10" xr3:uid="{00000000-0010-0000-0500-00000A000000}" name="Date expiration"/>
    <tableColumn id="11" xr3:uid="{00000000-0010-0000-0500-00000B000000}" name="Tarif convenu"/>
    <tableColumn id="12" xr3:uid="{00000000-0010-0000-0500-00000C000000}" name="Disponibilité prioritaire"/>
    <tableColumn id="13" xr3:uid="{00000000-0010-0000-0500-00000D000000}" name="Statut"/>
    <tableColumn id="14" xr3:uid="{00000000-0010-0000-0500-00000E000000}" name="Dernière évaluation"/>
    <tableColumn id="15" xr3:uid="{00000000-0010-0000-0500-00000F000000}" name="Note qualité /5"/>
    <tableColumn id="16" xr3:uid="{00000000-0010-0000-0500-000010000000}" name="Incidents liés"/>
    <tableColumn id="17" xr3:uid="{00000000-0010-0000-0500-000011000000}" name="Observation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Assurances" displayName="TblAssurances" ref="A4:Q54">
  <tableColumns count="17">
    <tableColumn id="1" xr3:uid="{00000000-0010-0000-0600-000001000000}" name="N° police"/>
    <tableColumn id="2" xr3:uid="{00000000-0010-0000-0600-000002000000}" name="Assureur"/>
    <tableColumn id="3" xr3:uid="{00000000-0010-0000-0600-000003000000}" name="Type couverture"/>
    <tableColumn id="4" xr3:uid="{00000000-0010-0000-0600-000004000000}" name="Objet couvert"/>
    <tableColumn id="5" xr3:uid="{00000000-0010-0000-0600-000005000000}" name="Capital assuré (FCFA)"/>
    <tableColumn id="6" xr3:uid="{00000000-0010-0000-0600-000006000000}" name="Prime annuelle (FCFA)"/>
    <tableColumn id="7" xr3:uid="{00000000-0010-0000-0600-000007000000}" name="Date effet"/>
    <tableColumn id="8" xr3:uid="{00000000-0010-0000-0600-000008000000}" name="Date expiration"/>
    <tableColumn id="9" xr3:uid="{00000000-0010-0000-0600-000009000000}" name="Statut"/>
    <tableColumn id="10" xr3:uid="{00000000-0010-0000-0600-00000A000000}" name="Attestation disponible"/>
    <tableColumn id="11" xr3:uid="{00000000-0010-0000-0600-00000B000000}" name="Contact assureur"/>
    <tableColumn id="12" xr3:uid="{00000000-0010-0000-0600-00000C000000}" name="Sinistre lié"/>
    <tableColumn id="13" xr3:uid="{00000000-0010-0000-0600-00000D000000}" name="Date déclaration"/>
    <tableColumn id="14" xr3:uid="{00000000-0010-0000-0600-00000E000000}" name="Montant déclaré"/>
    <tableColumn id="15" xr3:uid="{00000000-0010-0000-0600-00000F000000}" name="Montant indemnisé"/>
    <tableColumn id="16" xr3:uid="{00000000-0010-0000-0600-000010000000}" name="Reste à charge"/>
    <tableColumn id="17" xr3:uid="{00000000-0010-0000-0600-000011000000}" name="Observ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sqref="A1:H1"/>
    </sheetView>
  </sheetViews>
  <sheetFormatPr baseColWidth="10" defaultColWidth="9" defaultRowHeight="14.25"/>
  <cols>
    <col min="1" max="2" width="28" customWidth="1"/>
    <col min="3" max="8" width="24" customWidth="1"/>
  </cols>
  <sheetData>
    <row r="1" spans="1:8" ht="27.95" customHeight="1">
      <c r="A1" s="13" t="s">
        <v>0</v>
      </c>
      <c r="B1" s="13"/>
      <c r="C1" s="13"/>
      <c r="D1" s="13"/>
      <c r="E1" s="13"/>
      <c r="F1" s="13"/>
      <c r="G1" s="13"/>
      <c r="H1" s="13"/>
    </row>
    <row r="2" spans="1:8">
      <c r="A2" s="14" t="s">
        <v>1</v>
      </c>
      <c r="B2" s="14"/>
      <c r="C2" s="14"/>
      <c r="D2" s="14"/>
      <c r="E2" s="14"/>
      <c r="F2" s="14"/>
      <c r="G2" s="14"/>
      <c r="H2" s="14"/>
    </row>
    <row r="4" spans="1:8" ht="32.1" customHeight="1">
      <c r="A4" s="1" t="s">
        <v>2</v>
      </c>
      <c r="B4" s="1" t="s">
        <v>3</v>
      </c>
    </row>
    <row r="5" spans="1:8">
      <c r="A5" t="s">
        <v>4</v>
      </c>
      <c r="B5" t="s">
        <v>5</v>
      </c>
    </row>
    <row r="6" spans="1:8">
      <c r="A6" t="s">
        <v>6</v>
      </c>
      <c r="B6" t="s">
        <v>7</v>
      </c>
    </row>
    <row r="7" spans="1:8">
      <c r="A7" t="s">
        <v>8</v>
      </c>
      <c r="B7" s="3" t="s">
        <v>9</v>
      </c>
    </row>
    <row r="8" spans="1:8">
      <c r="A8" t="s">
        <v>10</v>
      </c>
      <c r="B8" s="2">
        <v>46174</v>
      </c>
    </row>
    <row r="9" spans="1:8">
      <c r="A9" t="s">
        <v>11</v>
      </c>
      <c r="B9" s="2">
        <v>0.85</v>
      </c>
    </row>
    <row r="10" spans="1:8">
      <c r="A10" t="s">
        <v>12</v>
      </c>
      <c r="B10" s="2">
        <v>0.9</v>
      </c>
    </row>
    <row r="11" spans="1:8">
      <c r="A11" t="s">
        <v>13</v>
      </c>
      <c r="B11">
        <v>0</v>
      </c>
    </row>
    <row r="13" spans="1:8" ht="32.1" customHeight="1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19</v>
      </c>
      <c r="G13" s="1" t="s">
        <v>20</v>
      </c>
      <c r="H13" s="1" t="s">
        <v>21</v>
      </c>
    </row>
    <row r="14" spans="1:8"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</row>
    <row r="15" spans="1:8">
      <c r="B15" t="s">
        <v>29</v>
      </c>
      <c r="C15" t="s">
        <v>30</v>
      </c>
      <c r="D15" t="s">
        <v>31</v>
      </c>
      <c r="E15" t="s">
        <v>32</v>
      </c>
      <c r="F15" t="s">
        <v>33</v>
      </c>
      <c r="G15" t="s">
        <v>34</v>
      </c>
      <c r="H15" t="s">
        <v>35</v>
      </c>
    </row>
    <row r="16" spans="1:8"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</row>
    <row r="17" spans="1:7">
      <c r="B17" t="s">
        <v>42</v>
      </c>
      <c r="C17" t="s">
        <v>43</v>
      </c>
      <c r="D17" t="s">
        <v>44</v>
      </c>
      <c r="G17" t="s">
        <v>45</v>
      </c>
    </row>
    <row r="18" spans="1:7">
      <c r="B18" t="s">
        <v>46</v>
      </c>
      <c r="C18" t="s">
        <v>47</v>
      </c>
      <c r="G18" t="s">
        <v>48</v>
      </c>
    </row>
    <row r="19" spans="1:7">
      <c r="B19" t="s">
        <v>49</v>
      </c>
      <c r="C19" t="s">
        <v>50</v>
      </c>
      <c r="G19" t="s">
        <v>51</v>
      </c>
    </row>
    <row r="21" spans="1:7" ht="60">
      <c r="A21" s="4" t="s">
        <v>52</v>
      </c>
      <c r="B21" s="4" t="s">
        <v>53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4"/>
  <sheetViews>
    <sheetView tabSelected="1" topLeftCell="D1" workbookViewId="0">
      <selection activeCell="L5" sqref="L5"/>
    </sheetView>
  </sheetViews>
  <sheetFormatPr baseColWidth="10" defaultColWidth="9" defaultRowHeight="14.25"/>
  <cols>
    <col min="1" max="1" width="16" customWidth="1"/>
    <col min="2" max="2" width="14" customWidth="1"/>
    <col min="3" max="3" width="15" customWidth="1"/>
    <col min="4" max="4" width="24" customWidth="1"/>
    <col min="5" max="5" width="18" customWidth="1"/>
    <col min="6" max="6" width="24" customWidth="1"/>
    <col min="7" max="7" width="20" customWidth="1"/>
    <col min="8" max="8" width="14" customWidth="1"/>
    <col min="9" max="9" width="10" customWidth="1"/>
    <col min="10" max="10" width="14" customWidth="1"/>
    <col min="11" max="11" width="28" customWidth="1"/>
    <col min="12" max="14" width="18" customWidth="1"/>
    <col min="15" max="15" width="16" customWidth="1"/>
    <col min="16" max="16" width="22" customWidth="1"/>
    <col min="17" max="17" width="15" customWidth="1"/>
    <col min="18" max="18" width="28" customWidth="1"/>
  </cols>
  <sheetData>
    <row r="1" spans="1:18" ht="27.95" customHeight="1">
      <c r="A1" s="13" t="s">
        <v>54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4" spans="1:18" ht="32.1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H4" s="1" t="s">
        <v>62</v>
      </c>
      <c r="I4" s="1" t="s">
        <v>63</v>
      </c>
      <c r="J4" s="1" t="s">
        <v>64</v>
      </c>
      <c r="K4" s="1" t="s">
        <v>65</v>
      </c>
      <c r="L4" s="1" t="s">
        <v>66</v>
      </c>
      <c r="M4" s="1" t="s">
        <v>67</v>
      </c>
      <c r="N4" s="1" t="s">
        <v>68</v>
      </c>
      <c r="O4" s="1" t="s">
        <v>69</v>
      </c>
      <c r="P4" s="1" t="s">
        <v>70</v>
      </c>
      <c r="Q4" s="1" t="s">
        <v>71</v>
      </c>
      <c r="R4" s="1" t="s">
        <v>72</v>
      </c>
    </row>
    <row r="5" spans="1:18">
      <c r="A5" t="s">
        <v>73</v>
      </c>
      <c r="B5" s="3"/>
      <c r="H5" s="3"/>
      <c r="J5" s="6"/>
      <c r="L5" s="5"/>
      <c r="M5" s="5"/>
      <c r="N5" s="5" t="str">
        <f t="shared" ref="N5:N36" si="0">IF(L5="","",L5-M5)</f>
        <v/>
      </c>
    </row>
    <row r="6" spans="1:18">
      <c r="A6" t="s">
        <v>74</v>
      </c>
      <c r="B6" s="3"/>
      <c r="H6" s="3"/>
      <c r="J6" s="6"/>
      <c r="L6" s="5"/>
      <c r="M6" s="5"/>
      <c r="N6" s="5" t="str">
        <f t="shared" si="0"/>
        <v/>
      </c>
    </row>
    <row r="7" spans="1:18">
      <c r="A7" t="s">
        <v>75</v>
      </c>
      <c r="B7" s="3"/>
      <c r="H7" s="3"/>
      <c r="J7" s="6"/>
      <c r="L7" s="5"/>
      <c r="M7" s="5"/>
      <c r="N7" s="5" t="str">
        <f t="shared" si="0"/>
        <v/>
      </c>
    </row>
    <row r="8" spans="1:18">
      <c r="A8" t="s">
        <v>76</v>
      </c>
      <c r="B8" s="3"/>
      <c r="H8" s="3"/>
      <c r="J8" s="6"/>
      <c r="L8" s="5"/>
      <c r="M8" s="5"/>
      <c r="N8" s="5" t="str">
        <f t="shared" si="0"/>
        <v/>
      </c>
    </row>
    <row r="9" spans="1:18">
      <c r="A9" t="s">
        <v>77</v>
      </c>
      <c r="B9" s="3"/>
      <c r="H9" s="3"/>
      <c r="J9" s="6"/>
      <c r="L9" s="5"/>
      <c r="M9" s="5"/>
      <c r="N9" s="5" t="str">
        <f t="shared" si="0"/>
        <v/>
      </c>
    </row>
    <row r="10" spans="1:18">
      <c r="A10" t="s">
        <v>78</v>
      </c>
      <c r="B10" s="3"/>
      <c r="H10" s="3"/>
      <c r="J10" s="6"/>
      <c r="L10" s="5"/>
      <c r="M10" s="5"/>
      <c r="N10" s="5" t="str">
        <f t="shared" si="0"/>
        <v/>
      </c>
    </row>
    <row r="11" spans="1:18">
      <c r="A11" t="s">
        <v>79</v>
      </c>
      <c r="B11" s="3"/>
      <c r="H11" s="3"/>
      <c r="J11" s="6"/>
      <c r="L11" s="5"/>
      <c r="M11" s="5"/>
      <c r="N11" s="5" t="str">
        <f t="shared" si="0"/>
        <v/>
      </c>
    </row>
    <row r="12" spans="1:18">
      <c r="A12" t="s">
        <v>80</v>
      </c>
      <c r="B12" s="3"/>
      <c r="H12" s="3"/>
      <c r="J12" s="6"/>
      <c r="L12" s="5"/>
      <c r="M12" s="5"/>
      <c r="N12" s="5" t="str">
        <f t="shared" si="0"/>
        <v/>
      </c>
    </row>
    <row r="13" spans="1:18">
      <c r="A13" t="s">
        <v>81</v>
      </c>
      <c r="B13" s="3"/>
      <c r="H13" s="3"/>
      <c r="J13" s="6"/>
      <c r="L13" s="5"/>
      <c r="M13" s="5"/>
      <c r="N13" s="5" t="str">
        <f t="shared" si="0"/>
        <v/>
      </c>
    </row>
    <row r="14" spans="1:18">
      <c r="A14" t="s">
        <v>82</v>
      </c>
      <c r="B14" s="3"/>
      <c r="H14" s="3"/>
      <c r="J14" s="6"/>
      <c r="L14" s="5"/>
      <c r="M14" s="5"/>
      <c r="N14" s="5" t="str">
        <f t="shared" si="0"/>
        <v/>
      </c>
    </row>
    <row r="15" spans="1:18">
      <c r="A15" t="s">
        <v>83</v>
      </c>
      <c r="B15" s="3"/>
      <c r="H15" s="3"/>
      <c r="J15" s="6"/>
      <c r="L15" s="5"/>
      <c r="M15" s="5"/>
      <c r="N15" s="5" t="str">
        <f t="shared" si="0"/>
        <v/>
      </c>
    </row>
    <row r="16" spans="1:18">
      <c r="A16" t="s">
        <v>84</v>
      </c>
      <c r="B16" s="3"/>
      <c r="H16" s="3"/>
      <c r="J16" s="6"/>
      <c r="L16" s="5"/>
      <c r="M16" s="5"/>
      <c r="N16" s="5" t="str">
        <f t="shared" si="0"/>
        <v/>
      </c>
    </row>
    <row r="17" spans="1:14">
      <c r="A17" t="s">
        <v>85</v>
      </c>
      <c r="B17" s="3"/>
      <c r="H17" s="3"/>
      <c r="J17" s="6"/>
      <c r="L17" s="5"/>
      <c r="M17" s="5"/>
      <c r="N17" s="5" t="str">
        <f t="shared" si="0"/>
        <v/>
      </c>
    </row>
    <row r="18" spans="1:14">
      <c r="A18" t="s">
        <v>86</v>
      </c>
      <c r="B18" s="3"/>
      <c r="H18" s="3"/>
      <c r="J18" s="6"/>
      <c r="L18" s="5"/>
      <c r="M18" s="5"/>
      <c r="N18" s="5" t="str">
        <f t="shared" si="0"/>
        <v/>
      </c>
    </row>
    <row r="19" spans="1:14">
      <c r="A19" t="s">
        <v>87</v>
      </c>
      <c r="B19" s="3"/>
      <c r="H19" s="3"/>
      <c r="J19" s="6"/>
      <c r="L19" s="5"/>
      <c r="M19" s="5"/>
      <c r="N19" s="5" t="str">
        <f t="shared" si="0"/>
        <v/>
      </c>
    </row>
    <row r="20" spans="1:14">
      <c r="A20" t="s">
        <v>88</v>
      </c>
      <c r="B20" s="3"/>
      <c r="H20" s="3"/>
      <c r="J20" s="6"/>
      <c r="L20" s="5"/>
      <c r="M20" s="5"/>
      <c r="N20" s="5" t="str">
        <f t="shared" si="0"/>
        <v/>
      </c>
    </row>
    <row r="21" spans="1:14">
      <c r="A21" t="s">
        <v>89</v>
      </c>
      <c r="B21" s="3"/>
      <c r="H21" s="3"/>
      <c r="J21" s="6"/>
      <c r="L21" s="5"/>
      <c r="M21" s="5"/>
      <c r="N21" s="5" t="str">
        <f t="shared" si="0"/>
        <v/>
      </c>
    </row>
    <row r="22" spans="1:14">
      <c r="A22" t="s">
        <v>90</v>
      </c>
      <c r="B22" s="3"/>
      <c r="H22" s="3"/>
      <c r="J22" s="6"/>
      <c r="L22" s="5"/>
      <c r="M22" s="5"/>
      <c r="N22" s="5" t="str">
        <f t="shared" si="0"/>
        <v/>
      </c>
    </row>
    <row r="23" spans="1:14">
      <c r="A23" t="s">
        <v>91</v>
      </c>
      <c r="B23" s="3"/>
      <c r="H23" s="3"/>
      <c r="J23" s="6"/>
      <c r="L23" s="5"/>
      <c r="M23" s="5"/>
      <c r="N23" s="5" t="str">
        <f t="shared" si="0"/>
        <v/>
      </c>
    </row>
    <row r="24" spans="1:14">
      <c r="A24" t="s">
        <v>92</v>
      </c>
      <c r="B24" s="3"/>
      <c r="H24" s="3"/>
      <c r="J24" s="6"/>
      <c r="L24" s="5"/>
      <c r="M24" s="5"/>
      <c r="N24" s="5" t="str">
        <f t="shared" si="0"/>
        <v/>
      </c>
    </row>
    <row r="25" spans="1:14">
      <c r="A25" t="s">
        <v>93</v>
      </c>
      <c r="B25" s="3"/>
      <c r="H25" s="3"/>
      <c r="J25" s="6"/>
      <c r="L25" s="5"/>
      <c r="M25" s="5"/>
      <c r="N25" s="5" t="str">
        <f t="shared" si="0"/>
        <v/>
      </c>
    </row>
    <row r="26" spans="1:14">
      <c r="A26" t="s">
        <v>94</v>
      </c>
      <c r="B26" s="3"/>
      <c r="H26" s="3"/>
      <c r="J26" s="6"/>
      <c r="L26" s="5"/>
      <c r="M26" s="5"/>
      <c r="N26" s="5" t="str">
        <f t="shared" si="0"/>
        <v/>
      </c>
    </row>
    <row r="27" spans="1:14">
      <c r="A27" t="s">
        <v>95</v>
      </c>
      <c r="B27" s="3"/>
      <c r="H27" s="3"/>
      <c r="J27" s="6"/>
      <c r="L27" s="5"/>
      <c r="M27" s="5"/>
      <c r="N27" s="5" t="str">
        <f t="shared" si="0"/>
        <v/>
      </c>
    </row>
    <row r="28" spans="1:14">
      <c r="A28" t="s">
        <v>96</v>
      </c>
      <c r="B28" s="3"/>
      <c r="H28" s="3"/>
      <c r="J28" s="6"/>
      <c r="L28" s="5"/>
      <c r="M28" s="5"/>
      <c r="N28" s="5" t="str">
        <f t="shared" si="0"/>
        <v/>
      </c>
    </row>
    <row r="29" spans="1:14">
      <c r="A29" t="s">
        <v>97</v>
      </c>
      <c r="B29" s="3"/>
      <c r="H29" s="3"/>
      <c r="J29" s="6"/>
      <c r="L29" s="5"/>
      <c r="M29" s="5"/>
      <c r="N29" s="5" t="str">
        <f t="shared" si="0"/>
        <v/>
      </c>
    </row>
    <row r="30" spans="1:14">
      <c r="A30" t="s">
        <v>98</v>
      </c>
      <c r="B30" s="3"/>
      <c r="H30" s="3"/>
      <c r="J30" s="6"/>
      <c r="L30" s="5"/>
      <c r="M30" s="5"/>
      <c r="N30" s="5" t="str">
        <f t="shared" si="0"/>
        <v/>
      </c>
    </row>
    <row r="31" spans="1:14">
      <c r="A31" t="s">
        <v>99</v>
      </c>
      <c r="B31" s="3"/>
      <c r="H31" s="3"/>
      <c r="J31" s="6"/>
      <c r="L31" s="5"/>
      <c r="M31" s="5"/>
      <c r="N31" s="5" t="str">
        <f t="shared" si="0"/>
        <v/>
      </c>
    </row>
    <row r="32" spans="1:14">
      <c r="A32" t="s">
        <v>100</v>
      </c>
      <c r="B32" s="3"/>
      <c r="H32" s="3"/>
      <c r="J32" s="6"/>
      <c r="L32" s="5"/>
      <c r="M32" s="5"/>
      <c r="N32" s="5" t="str">
        <f t="shared" si="0"/>
        <v/>
      </c>
    </row>
    <row r="33" spans="1:14">
      <c r="A33" t="s">
        <v>101</v>
      </c>
      <c r="B33" s="3"/>
      <c r="H33" s="3"/>
      <c r="J33" s="6"/>
      <c r="L33" s="5"/>
      <c r="M33" s="5"/>
      <c r="N33" s="5" t="str">
        <f t="shared" si="0"/>
        <v/>
      </c>
    </row>
    <row r="34" spans="1:14">
      <c r="A34" t="s">
        <v>102</v>
      </c>
      <c r="B34" s="3"/>
      <c r="H34" s="3"/>
      <c r="J34" s="6"/>
      <c r="L34" s="5"/>
      <c r="M34" s="5"/>
      <c r="N34" s="5" t="str">
        <f t="shared" si="0"/>
        <v/>
      </c>
    </row>
    <row r="35" spans="1:14">
      <c r="A35" t="s">
        <v>103</v>
      </c>
      <c r="B35" s="3"/>
      <c r="H35" s="3"/>
      <c r="J35" s="6"/>
      <c r="L35" s="5"/>
      <c r="M35" s="5"/>
      <c r="N35" s="5" t="str">
        <f t="shared" si="0"/>
        <v/>
      </c>
    </row>
    <row r="36" spans="1:14">
      <c r="A36" t="s">
        <v>104</v>
      </c>
      <c r="B36" s="3"/>
      <c r="H36" s="3"/>
      <c r="J36" s="6"/>
      <c r="L36" s="5"/>
      <c r="M36" s="5"/>
      <c r="N36" s="5" t="str">
        <f t="shared" si="0"/>
        <v/>
      </c>
    </row>
    <row r="37" spans="1:14">
      <c r="A37" t="s">
        <v>105</v>
      </c>
      <c r="B37" s="3"/>
      <c r="H37" s="3"/>
      <c r="J37" s="6"/>
      <c r="L37" s="5"/>
      <c r="M37" s="5"/>
      <c r="N37" s="5" t="str">
        <f t="shared" ref="N37:N68" si="1">IF(L37="","",L37-M37)</f>
        <v/>
      </c>
    </row>
    <row r="38" spans="1:14">
      <c r="A38" t="s">
        <v>106</v>
      </c>
      <c r="B38" s="3"/>
      <c r="H38" s="3"/>
      <c r="J38" s="6"/>
      <c r="L38" s="5"/>
      <c r="M38" s="5"/>
      <c r="N38" s="5" t="str">
        <f t="shared" si="1"/>
        <v/>
      </c>
    </row>
    <row r="39" spans="1:14">
      <c r="A39" t="s">
        <v>107</v>
      </c>
      <c r="B39" s="3"/>
      <c r="H39" s="3"/>
      <c r="J39" s="6"/>
      <c r="L39" s="5"/>
      <c r="M39" s="5"/>
      <c r="N39" s="5" t="str">
        <f t="shared" si="1"/>
        <v/>
      </c>
    </row>
    <row r="40" spans="1:14">
      <c r="A40" t="s">
        <v>108</v>
      </c>
      <c r="B40" s="3"/>
      <c r="H40" s="3"/>
      <c r="J40" s="6"/>
      <c r="L40" s="5"/>
      <c r="M40" s="5"/>
      <c r="N40" s="5" t="str">
        <f t="shared" si="1"/>
        <v/>
      </c>
    </row>
    <row r="41" spans="1:14">
      <c r="A41" t="s">
        <v>109</v>
      </c>
      <c r="B41" s="3"/>
      <c r="H41" s="3"/>
      <c r="J41" s="6"/>
      <c r="L41" s="5"/>
      <c r="M41" s="5"/>
      <c r="N41" s="5" t="str">
        <f t="shared" si="1"/>
        <v/>
      </c>
    </row>
    <row r="42" spans="1:14">
      <c r="A42" t="s">
        <v>110</v>
      </c>
      <c r="B42" s="3"/>
      <c r="H42" s="3"/>
      <c r="J42" s="6"/>
      <c r="L42" s="5"/>
      <c r="M42" s="5"/>
      <c r="N42" s="5" t="str">
        <f t="shared" si="1"/>
        <v/>
      </c>
    </row>
    <row r="43" spans="1:14">
      <c r="A43" t="s">
        <v>111</v>
      </c>
      <c r="B43" s="3"/>
      <c r="H43" s="3"/>
      <c r="J43" s="6"/>
      <c r="L43" s="5"/>
      <c r="M43" s="5"/>
      <c r="N43" s="5" t="str">
        <f t="shared" si="1"/>
        <v/>
      </c>
    </row>
    <row r="44" spans="1:14">
      <c r="A44" t="s">
        <v>112</v>
      </c>
      <c r="B44" s="3"/>
      <c r="H44" s="3"/>
      <c r="J44" s="6"/>
      <c r="L44" s="5"/>
      <c r="M44" s="5"/>
      <c r="N44" s="5" t="str">
        <f t="shared" si="1"/>
        <v/>
      </c>
    </row>
    <row r="45" spans="1:14">
      <c r="A45" t="s">
        <v>113</v>
      </c>
      <c r="B45" s="3"/>
      <c r="H45" s="3"/>
      <c r="J45" s="6"/>
      <c r="L45" s="5"/>
      <c r="M45" s="5"/>
      <c r="N45" s="5" t="str">
        <f t="shared" si="1"/>
        <v/>
      </c>
    </row>
    <row r="46" spans="1:14">
      <c r="A46" t="s">
        <v>114</v>
      </c>
      <c r="B46" s="3"/>
      <c r="H46" s="3"/>
      <c r="J46" s="6"/>
      <c r="L46" s="5"/>
      <c r="M46" s="5"/>
      <c r="N46" s="5" t="str">
        <f t="shared" si="1"/>
        <v/>
      </c>
    </row>
    <row r="47" spans="1:14">
      <c r="A47" t="s">
        <v>115</v>
      </c>
      <c r="B47" s="3"/>
      <c r="H47" s="3"/>
      <c r="J47" s="6"/>
      <c r="L47" s="5"/>
      <c r="M47" s="5"/>
      <c r="N47" s="5" t="str">
        <f t="shared" si="1"/>
        <v/>
      </c>
    </row>
    <row r="48" spans="1:14">
      <c r="A48" t="s">
        <v>116</v>
      </c>
      <c r="B48" s="3"/>
      <c r="H48" s="3"/>
      <c r="J48" s="6"/>
      <c r="L48" s="5"/>
      <c r="M48" s="5"/>
      <c r="N48" s="5" t="str">
        <f t="shared" si="1"/>
        <v/>
      </c>
    </row>
    <row r="49" spans="1:14">
      <c r="A49" t="s">
        <v>117</v>
      </c>
      <c r="B49" s="3"/>
      <c r="H49" s="3"/>
      <c r="J49" s="6"/>
      <c r="L49" s="5"/>
      <c r="M49" s="5"/>
      <c r="N49" s="5" t="str">
        <f t="shared" si="1"/>
        <v/>
      </c>
    </row>
    <row r="50" spans="1:14">
      <c r="A50" t="s">
        <v>118</v>
      </c>
      <c r="B50" s="3"/>
      <c r="H50" s="3"/>
      <c r="J50" s="6"/>
      <c r="L50" s="5"/>
      <c r="M50" s="5"/>
      <c r="N50" s="5" t="str">
        <f t="shared" si="1"/>
        <v/>
      </c>
    </row>
    <row r="51" spans="1:14">
      <c r="A51" t="s">
        <v>119</v>
      </c>
      <c r="B51" s="3"/>
      <c r="H51" s="3"/>
      <c r="J51" s="6"/>
      <c r="L51" s="5"/>
      <c r="M51" s="5"/>
      <c r="N51" s="5" t="str">
        <f t="shared" si="1"/>
        <v/>
      </c>
    </row>
    <row r="52" spans="1:14">
      <c r="A52" t="s">
        <v>120</v>
      </c>
      <c r="B52" s="3"/>
      <c r="H52" s="3"/>
      <c r="J52" s="6"/>
      <c r="L52" s="5"/>
      <c r="M52" s="5"/>
      <c r="N52" s="5" t="str">
        <f t="shared" si="1"/>
        <v/>
      </c>
    </row>
    <row r="53" spans="1:14">
      <c r="A53" t="s">
        <v>121</v>
      </c>
      <c r="B53" s="3"/>
      <c r="H53" s="3"/>
      <c r="J53" s="6"/>
      <c r="L53" s="5"/>
      <c r="M53" s="5"/>
      <c r="N53" s="5" t="str">
        <f t="shared" si="1"/>
        <v/>
      </c>
    </row>
    <row r="54" spans="1:14">
      <c r="A54" t="s">
        <v>122</v>
      </c>
      <c r="B54" s="3"/>
      <c r="H54" s="3"/>
      <c r="J54" s="6"/>
      <c r="L54" s="5"/>
      <c r="M54" s="5"/>
      <c r="N54" s="5" t="str">
        <f t="shared" si="1"/>
        <v/>
      </c>
    </row>
    <row r="55" spans="1:14">
      <c r="A55" t="s">
        <v>123</v>
      </c>
      <c r="B55" s="3"/>
      <c r="H55" s="3"/>
      <c r="J55" s="6"/>
      <c r="L55" s="5"/>
      <c r="M55" s="5"/>
      <c r="N55" s="5" t="str">
        <f t="shared" si="1"/>
        <v/>
      </c>
    </row>
    <row r="56" spans="1:14">
      <c r="A56" t="s">
        <v>124</v>
      </c>
      <c r="B56" s="3"/>
      <c r="H56" s="3"/>
      <c r="J56" s="6"/>
      <c r="L56" s="5"/>
      <c r="M56" s="5"/>
      <c r="N56" s="5" t="str">
        <f t="shared" si="1"/>
        <v/>
      </c>
    </row>
    <row r="57" spans="1:14">
      <c r="A57" t="s">
        <v>125</v>
      </c>
      <c r="B57" s="3"/>
      <c r="H57" s="3"/>
      <c r="J57" s="6"/>
      <c r="L57" s="5"/>
      <c r="M57" s="5"/>
      <c r="N57" s="5" t="str">
        <f t="shared" si="1"/>
        <v/>
      </c>
    </row>
    <row r="58" spans="1:14">
      <c r="A58" t="s">
        <v>126</v>
      </c>
      <c r="B58" s="3"/>
      <c r="H58" s="3"/>
      <c r="J58" s="6"/>
      <c r="L58" s="5"/>
      <c r="M58" s="5"/>
      <c r="N58" s="5" t="str">
        <f t="shared" si="1"/>
        <v/>
      </c>
    </row>
    <row r="59" spans="1:14">
      <c r="A59" t="s">
        <v>127</v>
      </c>
      <c r="B59" s="3"/>
      <c r="H59" s="3"/>
      <c r="J59" s="6"/>
      <c r="L59" s="5"/>
      <c r="M59" s="5"/>
      <c r="N59" s="5" t="str">
        <f t="shared" si="1"/>
        <v/>
      </c>
    </row>
    <row r="60" spans="1:14">
      <c r="A60" t="s">
        <v>128</v>
      </c>
      <c r="B60" s="3"/>
      <c r="H60" s="3"/>
      <c r="J60" s="6"/>
      <c r="L60" s="5"/>
      <c r="M60" s="5"/>
      <c r="N60" s="5" t="str">
        <f t="shared" si="1"/>
        <v/>
      </c>
    </row>
    <row r="61" spans="1:14">
      <c r="A61" t="s">
        <v>129</v>
      </c>
      <c r="B61" s="3"/>
      <c r="H61" s="3"/>
      <c r="J61" s="6"/>
      <c r="L61" s="5"/>
      <c r="M61" s="5"/>
      <c r="N61" s="5" t="str">
        <f t="shared" si="1"/>
        <v/>
      </c>
    </row>
    <row r="62" spans="1:14">
      <c r="A62" t="s">
        <v>130</v>
      </c>
      <c r="B62" s="3"/>
      <c r="H62" s="3"/>
      <c r="J62" s="6"/>
      <c r="L62" s="5"/>
      <c r="M62" s="5"/>
      <c r="N62" s="5" t="str">
        <f t="shared" si="1"/>
        <v/>
      </c>
    </row>
    <row r="63" spans="1:14">
      <c r="A63" t="s">
        <v>131</v>
      </c>
      <c r="B63" s="3"/>
      <c r="H63" s="3"/>
      <c r="J63" s="6"/>
      <c r="L63" s="5"/>
      <c r="M63" s="5"/>
      <c r="N63" s="5" t="str">
        <f t="shared" si="1"/>
        <v/>
      </c>
    </row>
    <row r="64" spans="1:14">
      <c r="A64" t="s">
        <v>132</v>
      </c>
      <c r="B64" s="3"/>
      <c r="H64" s="3"/>
      <c r="J64" s="6"/>
      <c r="L64" s="5"/>
      <c r="M64" s="5"/>
      <c r="N64" s="5" t="str">
        <f t="shared" si="1"/>
        <v/>
      </c>
    </row>
    <row r="65" spans="1:14">
      <c r="A65" t="s">
        <v>133</v>
      </c>
      <c r="B65" s="3"/>
      <c r="H65" s="3"/>
      <c r="J65" s="6"/>
      <c r="L65" s="5"/>
      <c r="M65" s="5"/>
      <c r="N65" s="5" t="str">
        <f t="shared" si="1"/>
        <v/>
      </c>
    </row>
    <row r="66" spans="1:14">
      <c r="A66" t="s">
        <v>134</v>
      </c>
      <c r="B66" s="3"/>
      <c r="H66" s="3"/>
      <c r="J66" s="6"/>
      <c r="L66" s="5"/>
      <c r="M66" s="5"/>
      <c r="N66" s="5" t="str">
        <f t="shared" si="1"/>
        <v/>
      </c>
    </row>
    <row r="67" spans="1:14">
      <c r="A67" t="s">
        <v>135</v>
      </c>
      <c r="B67" s="3"/>
      <c r="H67" s="3"/>
      <c r="J67" s="6"/>
      <c r="L67" s="5"/>
      <c r="M67" s="5"/>
      <c r="N67" s="5" t="str">
        <f t="shared" si="1"/>
        <v/>
      </c>
    </row>
    <row r="68" spans="1:14">
      <c r="A68" t="s">
        <v>136</v>
      </c>
      <c r="B68" s="3"/>
      <c r="H68" s="3"/>
      <c r="J68" s="6"/>
      <c r="L68" s="5"/>
      <c r="M68" s="5"/>
      <c r="N68" s="5" t="str">
        <f t="shared" si="1"/>
        <v/>
      </c>
    </row>
    <row r="69" spans="1:14">
      <c r="A69" t="s">
        <v>137</v>
      </c>
      <c r="B69" s="3"/>
      <c r="H69" s="3"/>
      <c r="J69" s="6"/>
      <c r="L69" s="5"/>
      <c r="M69" s="5"/>
      <c r="N69" s="5" t="str">
        <f t="shared" ref="N69:N100" si="2">IF(L69="","",L69-M69)</f>
        <v/>
      </c>
    </row>
    <row r="70" spans="1:14">
      <c r="A70" t="s">
        <v>138</v>
      </c>
      <c r="B70" s="3"/>
      <c r="H70" s="3"/>
      <c r="J70" s="6"/>
      <c r="L70" s="5"/>
      <c r="M70" s="5"/>
      <c r="N70" s="5" t="str">
        <f t="shared" si="2"/>
        <v/>
      </c>
    </row>
    <row r="71" spans="1:14">
      <c r="A71" t="s">
        <v>139</v>
      </c>
      <c r="B71" s="3"/>
      <c r="H71" s="3"/>
      <c r="J71" s="6"/>
      <c r="L71" s="5"/>
      <c r="M71" s="5"/>
      <c r="N71" s="5" t="str">
        <f t="shared" si="2"/>
        <v/>
      </c>
    </row>
    <row r="72" spans="1:14">
      <c r="A72" t="s">
        <v>140</v>
      </c>
      <c r="B72" s="3"/>
      <c r="H72" s="3"/>
      <c r="J72" s="6"/>
      <c r="L72" s="5"/>
      <c r="M72" s="5"/>
      <c r="N72" s="5" t="str">
        <f t="shared" si="2"/>
        <v/>
      </c>
    </row>
    <row r="73" spans="1:14">
      <c r="A73" t="s">
        <v>141</v>
      </c>
      <c r="B73" s="3"/>
      <c r="H73" s="3"/>
      <c r="J73" s="6"/>
      <c r="L73" s="5"/>
      <c r="M73" s="5"/>
      <c r="N73" s="5" t="str">
        <f t="shared" si="2"/>
        <v/>
      </c>
    </row>
    <row r="74" spans="1:14">
      <c r="A74" t="s">
        <v>142</v>
      </c>
      <c r="B74" s="3"/>
      <c r="H74" s="3"/>
      <c r="J74" s="6"/>
      <c r="L74" s="5"/>
      <c r="M74" s="5"/>
      <c r="N74" s="5" t="str">
        <f t="shared" si="2"/>
        <v/>
      </c>
    </row>
    <row r="75" spans="1:14">
      <c r="A75" t="s">
        <v>143</v>
      </c>
      <c r="B75" s="3"/>
      <c r="H75" s="3"/>
      <c r="J75" s="6"/>
      <c r="L75" s="5"/>
      <c r="M75" s="5"/>
      <c r="N75" s="5" t="str">
        <f t="shared" si="2"/>
        <v/>
      </c>
    </row>
    <row r="76" spans="1:14">
      <c r="A76" t="s">
        <v>144</v>
      </c>
      <c r="B76" s="3"/>
      <c r="H76" s="3"/>
      <c r="J76" s="6"/>
      <c r="L76" s="5"/>
      <c r="M76" s="5"/>
      <c r="N76" s="5" t="str">
        <f t="shared" si="2"/>
        <v/>
      </c>
    </row>
    <row r="77" spans="1:14">
      <c r="A77" t="s">
        <v>145</v>
      </c>
      <c r="B77" s="3"/>
      <c r="H77" s="3"/>
      <c r="J77" s="6"/>
      <c r="L77" s="5"/>
      <c r="M77" s="5"/>
      <c r="N77" s="5" t="str">
        <f t="shared" si="2"/>
        <v/>
      </c>
    </row>
    <row r="78" spans="1:14">
      <c r="A78" t="s">
        <v>146</v>
      </c>
      <c r="B78" s="3"/>
      <c r="H78" s="3"/>
      <c r="J78" s="6"/>
      <c r="L78" s="5"/>
      <c r="M78" s="5"/>
      <c r="N78" s="5" t="str">
        <f t="shared" si="2"/>
        <v/>
      </c>
    </row>
    <row r="79" spans="1:14">
      <c r="A79" t="s">
        <v>147</v>
      </c>
      <c r="B79" s="3"/>
      <c r="H79" s="3"/>
      <c r="J79" s="6"/>
      <c r="L79" s="5"/>
      <c r="M79" s="5"/>
      <c r="N79" s="5" t="str">
        <f t="shared" si="2"/>
        <v/>
      </c>
    </row>
    <row r="80" spans="1:14">
      <c r="A80" t="s">
        <v>148</v>
      </c>
      <c r="B80" s="3"/>
      <c r="H80" s="3"/>
      <c r="J80" s="6"/>
      <c r="L80" s="5"/>
      <c r="M80" s="5"/>
      <c r="N80" s="5" t="str">
        <f t="shared" si="2"/>
        <v/>
      </c>
    </row>
    <row r="81" spans="1:14">
      <c r="A81" t="s">
        <v>149</v>
      </c>
      <c r="B81" s="3"/>
      <c r="H81" s="3"/>
      <c r="J81" s="6"/>
      <c r="L81" s="5"/>
      <c r="M81" s="5"/>
      <c r="N81" s="5" t="str">
        <f t="shared" si="2"/>
        <v/>
      </c>
    </row>
    <row r="82" spans="1:14">
      <c r="A82" t="s">
        <v>150</v>
      </c>
      <c r="B82" s="3"/>
      <c r="H82" s="3"/>
      <c r="J82" s="6"/>
      <c r="L82" s="5"/>
      <c r="M82" s="5"/>
      <c r="N82" s="5" t="str">
        <f t="shared" si="2"/>
        <v/>
      </c>
    </row>
    <row r="83" spans="1:14">
      <c r="A83" t="s">
        <v>151</v>
      </c>
      <c r="B83" s="3"/>
      <c r="H83" s="3"/>
      <c r="J83" s="6"/>
      <c r="L83" s="5"/>
      <c r="M83" s="5"/>
      <c r="N83" s="5" t="str">
        <f t="shared" si="2"/>
        <v/>
      </c>
    </row>
    <row r="84" spans="1:14">
      <c r="A84" t="s">
        <v>152</v>
      </c>
      <c r="B84" s="3"/>
      <c r="H84" s="3"/>
      <c r="J84" s="6"/>
      <c r="L84" s="5"/>
      <c r="M84" s="5"/>
      <c r="N84" s="5" t="str">
        <f t="shared" si="2"/>
        <v/>
      </c>
    </row>
    <row r="85" spans="1:14">
      <c r="A85" t="s">
        <v>153</v>
      </c>
      <c r="B85" s="3"/>
      <c r="H85" s="3"/>
      <c r="J85" s="6"/>
      <c r="L85" s="5"/>
      <c r="M85" s="5"/>
      <c r="N85" s="5" t="str">
        <f t="shared" si="2"/>
        <v/>
      </c>
    </row>
    <row r="86" spans="1:14">
      <c r="A86" t="s">
        <v>154</v>
      </c>
      <c r="B86" s="3"/>
      <c r="H86" s="3"/>
      <c r="J86" s="6"/>
      <c r="L86" s="5"/>
      <c r="M86" s="5"/>
      <c r="N86" s="5" t="str">
        <f t="shared" si="2"/>
        <v/>
      </c>
    </row>
    <row r="87" spans="1:14">
      <c r="A87" t="s">
        <v>155</v>
      </c>
      <c r="B87" s="3"/>
      <c r="H87" s="3"/>
      <c r="J87" s="6"/>
      <c r="L87" s="5"/>
      <c r="M87" s="5"/>
      <c r="N87" s="5" t="str">
        <f t="shared" si="2"/>
        <v/>
      </c>
    </row>
    <row r="88" spans="1:14">
      <c r="A88" t="s">
        <v>156</v>
      </c>
      <c r="B88" s="3"/>
      <c r="H88" s="3"/>
      <c r="J88" s="6"/>
      <c r="L88" s="5"/>
      <c r="M88" s="5"/>
      <c r="N88" s="5" t="str">
        <f t="shared" si="2"/>
        <v/>
      </c>
    </row>
    <row r="89" spans="1:14">
      <c r="A89" t="s">
        <v>157</v>
      </c>
      <c r="B89" s="3"/>
      <c r="H89" s="3"/>
      <c r="J89" s="6"/>
      <c r="L89" s="5"/>
      <c r="M89" s="5"/>
      <c r="N89" s="5" t="str">
        <f t="shared" si="2"/>
        <v/>
      </c>
    </row>
    <row r="90" spans="1:14">
      <c r="A90" t="s">
        <v>158</v>
      </c>
      <c r="B90" s="3"/>
      <c r="H90" s="3"/>
      <c r="J90" s="6"/>
      <c r="L90" s="5"/>
      <c r="M90" s="5"/>
      <c r="N90" s="5" t="str">
        <f t="shared" si="2"/>
        <v/>
      </c>
    </row>
    <row r="91" spans="1:14">
      <c r="A91" t="s">
        <v>159</v>
      </c>
      <c r="B91" s="3"/>
      <c r="H91" s="3"/>
      <c r="J91" s="6"/>
      <c r="L91" s="5"/>
      <c r="M91" s="5"/>
      <c r="N91" s="5" t="str">
        <f t="shared" si="2"/>
        <v/>
      </c>
    </row>
    <row r="92" spans="1:14">
      <c r="A92" t="s">
        <v>160</v>
      </c>
      <c r="B92" s="3"/>
      <c r="H92" s="3"/>
      <c r="J92" s="6"/>
      <c r="L92" s="5"/>
      <c r="M92" s="5"/>
      <c r="N92" s="5" t="str">
        <f t="shared" si="2"/>
        <v/>
      </c>
    </row>
    <row r="93" spans="1:14">
      <c r="A93" t="s">
        <v>161</v>
      </c>
      <c r="B93" s="3"/>
      <c r="H93" s="3"/>
      <c r="J93" s="6"/>
      <c r="L93" s="5"/>
      <c r="M93" s="5"/>
      <c r="N93" s="5" t="str">
        <f t="shared" si="2"/>
        <v/>
      </c>
    </row>
    <row r="94" spans="1:14">
      <c r="A94" t="s">
        <v>162</v>
      </c>
      <c r="B94" s="3"/>
      <c r="H94" s="3"/>
      <c r="J94" s="6"/>
      <c r="L94" s="5"/>
      <c r="M94" s="5"/>
      <c r="N94" s="5" t="str">
        <f t="shared" si="2"/>
        <v/>
      </c>
    </row>
    <row r="95" spans="1:14">
      <c r="A95" t="s">
        <v>163</v>
      </c>
      <c r="B95" s="3"/>
      <c r="H95" s="3"/>
      <c r="J95" s="6"/>
      <c r="L95" s="5"/>
      <c r="M95" s="5"/>
      <c r="N95" s="5" t="str">
        <f t="shared" si="2"/>
        <v/>
      </c>
    </row>
    <row r="96" spans="1:14">
      <c r="A96" t="s">
        <v>164</v>
      </c>
      <c r="B96" s="3"/>
      <c r="H96" s="3"/>
      <c r="J96" s="6"/>
      <c r="L96" s="5"/>
      <c r="M96" s="5"/>
      <c r="N96" s="5" t="str">
        <f t="shared" si="2"/>
        <v/>
      </c>
    </row>
    <row r="97" spans="1:14">
      <c r="A97" t="s">
        <v>165</v>
      </c>
      <c r="B97" s="3"/>
      <c r="H97" s="3"/>
      <c r="J97" s="6"/>
      <c r="L97" s="5"/>
      <c r="M97" s="5"/>
      <c r="N97" s="5" t="str">
        <f t="shared" si="2"/>
        <v/>
      </c>
    </row>
    <row r="98" spans="1:14">
      <c r="A98" t="s">
        <v>166</v>
      </c>
      <c r="B98" s="3"/>
      <c r="H98" s="3"/>
      <c r="J98" s="6"/>
      <c r="L98" s="5"/>
      <c r="M98" s="5"/>
      <c r="N98" s="5" t="str">
        <f t="shared" si="2"/>
        <v/>
      </c>
    </row>
    <row r="99" spans="1:14">
      <c r="A99" t="s">
        <v>167</v>
      </c>
      <c r="B99" s="3"/>
      <c r="H99" s="3"/>
      <c r="J99" s="6"/>
      <c r="L99" s="5"/>
      <c r="M99" s="5"/>
      <c r="N99" s="5" t="str">
        <f t="shared" si="2"/>
        <v/>
      </c>
    </row>
    <row r="100" spans="1:14">
      <c r="A100" t="s">
        <v>168</v>
      </c>
      <c r="B100" s="3"/>
      <c r="H100" s="3"/>
      <c r="J100" s="6"/>
      <c r="L100" s="5"/>
      <c r="M100" s="5"/>
      <c r="N100" s="5" t="str">
        <f t="shared" si="2"/>
        <v/>
      </c>
    </row>
    <row r="101" spans="1:14">
      <c r="A101" t="s">
        <v>169</v>
      </c>
      <c r="B101" s="3"/>
      <c r="H101" s="3"/>
      <c r="J101" s="6"/>
      <c r="L101" s="5"/>
      <c r="M101" s="5"/>
      <c r="N101" s="5" t="str">
        <f t="shared" ref="N101:N104" si="3">IF(L101="","",L101-M101)</f>
        <v/>
      </c>
    </row>
    <row r="102" spans="1:14">
      <c r="A102" t="s">
        <v>170</v>
      </c>
      <c r="B102" s="3"/>
      <c r="H102" s="3"/>
      <c r="J102" s="6"/>
      <c r="L102" s="5"/>
      <c r="M102" s="5"/>
      <c r="N102" s="5" t="str">
        <f t="shared" si="3"/>
        <v/>
      </c>
    </row>
    <row r="103" spans="1:14">
      <c r="A103" t="s">
        <v>171</v>
      </c>
      <c r="B103" s="3"/>
      <c r="H103" s="3"/>
      <c r="J103" s="6"/>
      <c r="L103" s="5"/>
      <c r="M103" s="5"/>
      <c r="N103" s="5" t="str">
        <f t="shared" si="3"/>
        <v/>
      </c>
    </row>
    <row r="104" spans="1:14">
      <c r="A104" t="s">
        <v>172</v>
      </c>
      <c r="B104" s="3"/>
      <c r="H104" s="3"/>
      <c r="J104" s="6"/>
      <c r="L104" s="5"/>
      <c r="M104" s="5"/>
      <c r="N104" s="5" t="str">
        <f t="shared" si="3"/>
        <v/>
      </c>
    </row>
  </sheetData>
  <mergeCells count="2">
    <mergeCell ref="A1:R1"/>
    <mergeCell ref="A2:R2"/>
  </mergeCells>
  <conditionalFormatting sqref="N5:N104">
    <cfRule type="cellIs" dxfId="12" priority="3" operator="greaterThan">
      <formula>0</formula>
    </cfRule>
  </conditionalFormatting>
  <conditionalFormatting sqref="Q5:Q104">
    <cfRule type="expression" dxfId="11" priority="1">
      <formula>Q5="Confirmée"</formula>
    </cfRule>
    <cfRule type="expression" dxfId="10" priority="2">
      <formula>Q5="Annulée"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Paramètres!$G$14:$G$19</xm:f>
          </x14:formula1>
          <xm:sqref>C5:C104</xm:sqref>
        </x14:dataValidation>
        <x14:dataValidation type="list" xr:uid="{00000000-0002-0000-0100-000001000000}">
          <x14:formula1>
            <xm:f>Paramètres!$C$14:$C$19</xm:f>
          </x14:formula1>
          <xm:sqref>G5:G104</xm:sqref>
        </x14:dataValidation>
        <x14:dataValidation type="list" xr:uid="{00000000-0002-0000-0100-000002000000}">
          <x14:formula1>
            <xm:f>Paramètres!$D$14:$D$17</xm:f>
          </x14:formula1>
          <xm:sqref>O5:O104</xm:sqref>
        </x14:dataValidation>
        <x14:dataValidation type="list" xr:uid="{00000000-0002-0000-0100-000003000000}">
          <x14:formula1>
            <xm:f>Paramètres!$B$14:$B$19</xm:f>
          </x14:formula1>
          <xm:sqref>Q5:Q104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4"/>
  <sheetViews>
    <sheetView workbookViewId="0">
      <selection sqref="A1:Q1"/>
    </sheetView>
  </sheetViews>
  <sheetFormatPr baseColWidth="10" defaultColWidth="9" defaultRowHeight="14.25"/>
  <cols>
    <col min="1" max="1" width="16" customWidth="1"/>
    <col min="2" max="2" width="14" customWidth="1"/>
    <col min="3" max="3" width="16" customWidth="1"/>
    <col min="4" max="4" width="22" customWidth="1"/>
    <col min="5" max="5" width="24" customWidth="1"/>
    <col min="6" max="8" width="15" customWidth="1"/>
    <col min="9" max="9" width="13" customWidth="1"/>
    <col min="10" max="11" width="15" customWidth="1"/>
    <col min="12" max="13" width="16" customWidth="1"/>
    <col min="14" max="14" width="18" customWidth="1"/>
    <col min="15" max="15" width="12" customWidth="1"/>
    <col min="16" max="16" width="16" customWidth="1"/>
    <col min="17" max="17" width="28" customWidth="1"/>
  </cols>
  <sheetData>
    <row r="1" spans="1:17" ht="27.95" customHeight="1">
      <c r="A1" s="13" t="s">
        <v>173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4" spans="1:17" ht="32.1" customHeight="1">
      <c r="A4" s="1" t="s">
        <v>174</v>
      </c>
      <c r="B4" s="1" t="s">
        <v>175</v>
      </c>
      <c r="C4" s="1" t="s">
        <v>55</v>
      </c>
      <c r="D4" s="1" t="s">
        <v>176</v>
      </c>
      <c r="E4" s="1" t="s">
        <v>177</v>
      </c>
      <c r="F4" s="1" t="s">
        <v>178</v>
      </c>
      <c r="G4" s="1" t="s">
        <v>179</v>
      </c>
      <c r="H4" s="1" t="s">
        <v>180</v>
      </c>
      <c r="I4" s="1" t="s">
        <v>181</v>
      </c>
      <c r="J4" s="1" t="s">
        <v>182</v>
      </c>
      <c r="K4" s="1" t="s">
        <v>183</v>
      </c>
      <c r="L4" s="1" t="s">
        <v>184</v>
      </c>
      <c r="M4" s="1" t="s">
        <v>185</v>
      </c>
      <c r="N4" s="1" t="s">
        <v>186</v>
      </c>
      <c r="O4" s="1" t="s">
        <v>187</v>
      </c>
      <c r="P4" s="1" t="s">
        <v>188</v>
      </c>
      <c r="Q4" s="1" t="s">
        <v>72</v>
      </c>
    </row>
    <row r="5" spans="1:17">
      <c r="A5" t="s">
        <v>189</v>
      </c>
      <c r="B5" s="3"/>
      <c r="I5" s="6"/>
      <c r="J5" s="6"/>
    </row>
    <row r="6" spans="1:17">
      <c r="A6" t="s">
        <v>190</v>
      </c>
      <c r="B6" s="3"/>
      <c r="I6" s="6"/>
      <c r="J6" s="6"/>
    </row>
    <row r="7" spans="1:17">
      <c r="A7" t="s">
        <v>191</v>
      </c>
      <c r="B7" s="3"/>
      <c r="I7" s="6"/>
      <c r="J7" s="6"/>
    </row>
    <row r="8" spans="1:17">
      <c r="A8" t="s">
        <v>192</v>
      </c>
      <c r="B8" s="3"/>
      <c r="I8" s="6"/>
      <c r="J8" s="6"/>
    </row>
    <row r="9" spans="1:17">
      <c r="A9" t="s">
        <v>193</v>
      </c>
      <c r="B9" s="3"/>
      <c r="I9" s="6"/>
      <c r="J9" s="6"/>
    </row>
    <row r="10" spans="1:17">
      <c r="A10" t="s">
        <v>194</v>
      </c>
      <c r="B10" s="3"/>
      <c r="I10" s="6"/>
      <c r="J10" s="6"/>
    </row>
    <row r="11" spans="1:17">
      <c r="A11" t="s">
        <v>195</v>
      </c>
      <c r="B11" s="3"/>
      <c r="I11" s="6"/>
      <c r="J11" s="6"/>
    </row>
    <row r="12" spans="1:17">
      <c r="A12" t="s">
        <v>196</v>
      </c>
      <c r="B12" s="3"/>
      <c r="I12" s="6"/>
      <c r="J12" s="6"/>
    </row>
    <row r="13" spans="1:17">
      <c r="A13" t="s">
        <v>197</v>
      </c>
      <c r="B13" s="3"/>
      <c r="I13" s="6"/>
      <c r="J13" s="6"/>
    </row>
    <row r="14" spans="1:17">
      <c r="A14" t="s">
        <v>198</v>
      </c>
      <c r="B14" s="3"/>
      <c r="I14" s="6"/>
      <c r="J14" s="6"/>
    </row>
    <row r="15" spans="1:17">
      <c r="A15" t="s">
        <v>199</v>
      </c>
      <c r="B15" s="3"/>
      <c r="I15" s="6"/>
      <c r="J15" s="6"/>
    </row>
    <row r="16" spans="1:17">
      <c r="A16" t="s">
        <v>200</v>
      </c>
      <c r="B16" s="3"/>
      <c r="I16" s="6"/>
      <c r="J16" s="6"/>
    </row>
    <row r="17" spans="1:10">
      <c r="A17" t="s">
        <v>201</v>
      </c>
      <c r="B17" s="3"/>
      <c r="I17" s="6"/>
      <c r="J17" s="6"/>
    </row>
    <row r="18" spans="1:10">
      <c r="A18" t="s">
        <v>202</v>
      </c>
      <c r="B18" s="3"/>
      <c r="I18" s="6"/>
      <c r="J18" s="6"/>
    </row>
    <row r="19" spans="1:10">
      <c r="A19" t="s">
        <v>203</v>
      </c>
      <c r="B19" s="3"/>
      <c r="I19" s="6"/>
      <c r="J19" s="6"/>
    </row>
    <row r="20" spans="1:10">
      <c r="A20" t="s">
        <v>204</v>
      </c>
      <c r="B20" s="3"/>
      <c r="I20" s="6"/>
      <c r="J20" s="6"/>
    </row>
    <row r="21" spans="1:10">
      <c r="A21" t="s">
        <v>205</v>
      </c>
      <c r="B21" s="3"/>
      <c r="I21" s="6"/>
      <c r="J21" s="6"/>
    </row>
    <row r="22" spans="1:10">
      <c r="A22" t="s">
        <v>206</v>
      </c>
      <c r="B22" s="3"/>
      <c r="I22" s="6"/>
      <c r="J22" s="6"/>
    </row>
    <row r="23" spans="1:10">
      <c r="A23" t="s">
        <v>207</v>
      </c>
      <c r="B23" s="3"/>
      <c r="I23" s="6"/>
      <c r="J23" s="6"/>
    </row>
    <row r="24" spans="1:10">
      <c r="A24" t="s">
        <v>208</v>
      </c>
      <c r="B24" s="3"/>
      <c r="I24" s="6"/>
      <c r="J24" s="6"/>
    </row>
    <row r="25" spans="1:10">
      <c r="A25" t="s">
        <v>209</v>
      </c>
      <c r="B25" s="3"/>
      <c r="I25" s="6"/>
      <c r="J25" s="6"/>
    </row>
    <row r="26" spans="1:10">
      <c r="A26" t="s">
        <v>210</v>
      </c>
      <c r="B26" s="3"/>
      <c r="I26" s="6"/>
      <c r="J26" s="6"/>
    </row>
    <row r="27" spans="1:10">
      <c r="A27" t="s">
        <v>211</v>
      </c>
      <c r="B27" s="3"/>
      <c r="I27" s="6"/>
      <c r="J27" s="6"/>
    </row>
    <row r="28" spans="1:10">
      <c r="A28" t="s">
        <v>212</v>
      </c>
      <c r="B28" s="3"/>
      <c r="I28" s="6"/>
      <c r="J28" s="6"/>
    </row>
    <row r="29" spans="1:10">
      <c r="A29" t="s">
        <v>213</v>
      </c>
      <c r="B29" s="3"/>
      <c r="I29" s="6"/>
      <c r="J29" s="6"/>
    </row>
    <row r="30" spans="1:10">
      <c r="A30" t="s">
        <v>214</v>
      </c>
      <c r="B30" s="3"/>
      <c r="I30" s="6"/>
      <c r="J30" s="6"/>
    </row>
    <row r="31" spans="1:10">
      <c r="A31" t="s">
        <v>215</v>
      </c>
      <c r="B31" s="3"/>
      <c r="I31" s="6"/>
      <c r="J31" s="6"/>
    </row>
    <row r="32" spans="1:10">
      <c r="A32" t="s">
        <v>216</v>
      </c>
      <c r="B32" s="3"/>
      <c r="I32" s="6"/>
      <c r="J32" s="6"/>
    </row>
    <row r="33" spans="1:10">
      <c r="A33" t="s">
        <v>217</v>
      </c>
      <c r="B33" s="3"/>
      <c r="I33" s="6"/>
      <c r="J33" s="6"/>
    </row>
    <row r="34" spans="1:10">
      <c r="A34" t="s">
        <v>218</v>
      </c>
      <c r="B34" s="3"/>
      <c r="I34" s="6"/>
      <c r="J34" s="6"/>
    </row>
    <row r="35" spans="1:10">
      <c r="A35" t="s">
        <v>219</v>
      </c>
      <c r="B35" s="3"/>
      <c r="I35" s="6"/>
      <c r="J35" s="6"/>
    </row>
    <row r="36" spans="1:10">
      <c r="A36" t="s">
        <v>220</v>
      </c>
      <c r="B36" s="3"/>
      <c r="I36" s="6"/>
      <c r="J36" s="6"/>
    </row>
    <row r="37" spans="1:10">
      <c r="A37" t="s">
        <v>221</v>
      </c>
      <c r="B37" s="3"/>
      <c r="I37" s="6"/>
      <c r="J37" s="6"/>
    </row>
    <row r="38" spans="1:10">
      <c r="A38" t="s">
        <v>222</v>
      </c>
      <c r="B38" s="3"/>
      <c r="I38" s="6"/>
      <c r="J38" s="6"/>
    </row>
    <row r="39" spans="1:10">
      <c r="A39" t="s">
        <v>223</v>
      </c>
      <c r="B39" s="3"/>
      <c r="I39" s="6"/>
      <c r="J39" s="6"/>
    </row>
    <row r="40" spans="1:10">
      <c r="A40" t="s">
        <v>224</v>
      </c>
      <c r="B40" s="3"/>
      <c r="I40" s="6"/>
      <c r="J40" s="6"/>
    </row>
    <row r="41" spans="1:10">
      <c r="A41" t="s">
        <v>225</v>
      </c>
      <c r="B41" s="3"/>
      <c r="I41" s="6"/>
      <c r="J41" s="6"/>
    </row>
    <row r="42" spans="1:10">
      <c r="A42" t="s">
        <v>226</v>
      </c>
      <c r="B42" s="3"/>
      <c r="I42" s="6"/>
      <c r="J42" s="6"/>
    </row>
    <row r="43" spans="1:10">
      <c r="A43" t="s">
        <v>227</v>
      </c>
      <c r="B43" s="3"/>
      <c r="I43" s="6"/>
      <c r="J43" s="6"/>
    </row>
    <row r="44" spans="1:10">
      <c r="A44" t="s">
        <v>228</v>
      </c>
      <c r="B44" s="3"/>
      <c r="I44" s="6"/>
      <c r="J44" s="6"/>
    </row>
    <row r="45" spans="1:10">
      <c r="A45" t="s">
        <v>229</v>
      </c>
      <c r="B45" s="3"/>
      <c r="I45" s="6"/>
      <c r="J45" s="6"/>
    </row>
    <row r="46" spans="1:10">
      <c r="A46" t="s">
        <v>230</v>
      </c>
      <c r="B46" s="3"/>
      <c r="I46" s="6"/>
      <c r="J46" s="6"/>
    </row>
    <row r="47" spans="1:10">
      <c r="A47" t="s">
        <v>231</v>
      </c>
      <c r="B47" s="3"/>
      <c r="I47" s="6"/>
      <c r="J47" s="6"/>
    </row>
    <row r="48" spans="1:10">
      <c r="A48" t="s">
        <v>232</v>
      </c>
      <c r="B48" s="3"/>
      <c r="I48" s="6"/>
      <c r="J48" s="6"/>
    </row>
    <row r="49" spans="1:10">
      <c r="A49" t="s">
        <v>233</v>
      </c>
      <c r="B49" s="3"/>
      <c r="I49" s="6"/>
      <c r="J49" s="6"/>
    </row>
    <row r="50" spans="1:10">
      <c r="A50" t="s">
        <v>234</v>
      </c>
      <c r="B50" s="3"/>
      <c r="I50" s="6"/>
      <c r="J50" s="6"/>
    </row>
    <row r="51" spans="1:10">
      <c r="A51" t="s">
        <v>235</v>
      </c>
      <c r="B51" s="3"/>
      <c r="I51" s="6"/>
      <c r="J51" s="6"/>
    </row>
    <row r="52" spans="1:10">
      <c r="A52" t="s">
        <v>236</v>
      </c>
      <c r="B52" s="3"/>
      <c r="I52" s="6"/>
      <c r="J52" s="6"/>
    </row>
    <row r="53" spans="1:10">
      <c r="A53" t="s">
        <v>237</v>
      </c>
      <c r="B53" s="3"/>
      <c r="I53" s="6"/>
      <c r="J53" s="6"/>
    </row>
    <row r="54" spans="1:10">
      <c r="A54" t="s">
        <v>238</v>
      </c>
      <c r="B54" s="3"/>
      <c r="I54" s="6"/>
      <c r="J54" s="6"/>
    </row>
    <row r="55" spans="1:10">
      <c r="A55" t="s">
        <v>239</v>
      </c>
      <c r="B55" s="3"/>
      <c r="I55" s="6"/>
      <c r="J55" s="6"/>
    </row>
    <row r="56" spans="1:10">
      <c r="A56" t="s">
        <v>240</v>
      </c>
      <c r="B56" s="3"/>
      <c r="I56" s="6"/>
      <c r="J56" s="6"/>
    </row>
    <row r="57" spans="1:10">
      <c r="A57" t="s">
        <v>241</v>
      </c>
      <c r="B57" s="3"/>
      <c r="I57" s="6"/>
      <c r="J57" s="6"/>
    </row>
    <row r="58" spans="1:10">
      <c r="A58" t="s">
        <v>242</v>
      </c>
      <c r="B58" s="3"/>
      <c r="I58" s="6"/>
      <c r="J58" s="6"/>
    </row>
    <row r="59" spans="1:10">
      <c r="A59" t="s">
        <v>243</v>
      </c>
      <c r="B59" s="3"/>
      <c r="I59" s="6"/>
      <c r="J59" s="6"/>
    </row>
    <row r="60" spans="1:10">
      <c r="A60" t="s">
        <v>244</v>
      </c>
      <c r="B60" s="3"/>
      <c r="I60" s="6"/>
      <c r="J60" s="6"/>
    </row>
    <row r="61" spans="1:10">
      <c r="A61" t="s">
        <v>245</v>
      </c>
      <c r="B61" s="3"/>
      <c r="I61" s="6"/>
      <c r="J61" s="6"/>
    </row>
    <row r="62" spans="1:10">
      <c r="A62" t="s">
        <v>246</v>
      </c>
      <c r="B62" s="3"/>
      <c r="I62" s="6"/>
      <c r="J62" s="6"/>
    </row>
    <row r="63" spans="1:10">
      <c r="A63" t="s">
        <v>247</v>
      </c>
      <c r="B63" s="3"/>
      <c r="I63" s="6"/>
      <c r="J63" s="6"/>
    </row>
    <row r="64" spans="1:10">
      <c r="A64" t="s">
        <v>248</v>
      </c>
      <c r="B64" s="3"/>
      <c r="I64" s="6"/>
      <c r="J64" s="6"/>
    </row>
    <row r="65" spans="1:10">
      <c r="A65" t="s">
        <v>249</v>
      </c>
      <c r="B65" s="3"/>
      <c r="I65" s="6"/>
      <c r="J65" s="6"/>
    </row>
    <row r="66" spans="1:10">
      <c r="A66" t="s">
        <v>250</v>
      </c>
      <c r="B66" s="3"/>
      <c r="I66" s="6"/>
      <c r="J66" s="6"/>
    </row>
    <row r="67" spans="1:10">
      <c r="A67" t="s">
        <v>251</v>
      </c>
      <c r="B67" s="3"/>
      <c r="I67" s="6"/>
      <c r="J67" s="6"/>
    </row>
    <row r="68" spans="1:10">
      <c r="A68" t="s">
        <v>252</v>
      </c>
      <c r="B68" s="3"/>
      <c r="I68" s="6"/>
      <c r="J68" s="6"/>
    </row>
    <row r="69" spans="1:10">
      <c r="A69" t="s">
        <v>253</v>
      </c>
      <c r="B69" s="3"/>
      <c r="I69" s="6"/>
      <c r="J69" s="6"/>
    </row>
    <row r="70" spans="1:10">
      <c r="A70" t="s">
        <v>254</v>
      </c>
      <c r="B70" s="3"/>
      <c r="I70" s="6"/>
      <c r="J70" s="6"/>
    </row>
    <row r="71" spans="1:10">
      <c r="A71" t="s">
        <v>255</v>
      </c>
      <c r="B71" s="3"/>
      <c r="I71" s="6"/>
      <c r="J71" s="6"/>
    </row>
    <row r="72" spans="1:10">
      <c r="A72" t="s">
        <v>256</v>
      </c>
      <c r="B72" s="3"/>
      <c r="I72" s="6"/>
      <c r="J72" s="6"/>
    </row>
    <row r="73" spans="1:10">
      <c r="A73" t="s">
        <v>257</v>
      </c>
      <c r="B73" s="3"/>
      <c r="I73" s="6"/>
      <c r="J73" s="6"/>
    </row>
    <row r="74" spans="1:10">
      <c r="A74" t="s">
        <v>258</v>
      </c>
      <c r="B74" s="3"/>
      <c r="I74" s="6"/>
      <c r="J74" s="6"/>
    </row>
    <row r="75" spans="1:10">
      <c r="A75" t="s">
        <v>259</v>
      </c>
      <c r="B75" s="3"/>
      <c r="I75" s="6"/>
      <c r="J75" s="6"/>
    </row>
    <row r="76" spans="1:10">
      <c r="A76" t="s">
        <v>260</v>
      </c>
      <c r="B76" s="3"/>
      <c r="I76" s="6"/>
      <c r="J76" s="6"/>
    </row>
    <row r="77" spans="1:10">
      <c r="A77" t="s">
        <v>261</v>
      </c>
      <c r="B77" s="3"/>
      <c r="I77" s="6"/>
      <c r="J77" s="6"/>
    </row>
    <row r="78" spans="1:10">
      <c r="A78" t="s">
        <v>262</v>
      </c>
      <c r="B78" s="3"/>
      <c r="I78" s="6"/>
      <c r="J78" s="6"/>
    </row>
    <row r="79" spans="1:10">
      <c r="A79" t="s">
        <v>263</v>
      </c>
      <c r="B79" s="3"/>
      <c r="I79" s="6"/>
      <c r="J79" s="6"/>
    </row>
    <row r="80" spans="1:10">
      <c r="A80" t="s">
        <v>264</v>
      </c>
      <c r="B80" s="3"/>
      <c r="I80" s="6"/>
      <c r="J80" s="6"/>
    </row>
    <row r="81" spans="1:10">
      <c r="A81" t="s">
        <v>265</v>
      </c>
      <c r="B81" s="3"/>
      <c r="I81" s="6"/>
      <c r="J81" s="6"/>
    </row>
    <row r="82" spans="1:10">
      <c r="A82" t="s">
        <v>266</v>
      </c>
      <c r="B82" s="3"/>
      <c r="I82" s="6"/>
      <c r="J82" s="6"/>
    </row>
    <row r="83" spans="1:10">
      <c r="A83" t="s">
        <v>267</v>
      </c>
      <c r="B83" s="3"/>
      <c r="I83" s="6"/>
      <c r="J83" s="6"/>
    </row>
    <row r="84" spans="1:10">
      <c r="A84" t="s">
        <v>268</v>
      </c>
      <c r="B84" s="3"/>
      <c r="I84" s="6"/>
      <c r="J84" s="6"/>
    </row>
    <row r="85" spans="1:10">
      <c r="A85" t="s">
        <v>269</v>
      </c>
      <c r="B85" s="3"/>
      <c r="I85" s="6"/>
      <c r="J85" s="6"/>
    </row>
    <row r="86" spans="1:10">
      <c r="A86" t="s">
        <v>270</v>
      </c>
      <c r="B86" s="3"/>
      <c r="I86" s="6"/>
      <c r="J86" s="6"/>
    </row>
    <row r="87" spans="1:10">
      <c r="A87" t="s">
        <v>271</v>
      </c>
      <c r="B87" s="3"/>
      <c r="I87" s="6"/>
      <c r="J87" s="6"/>
    </row>
    <row r="88" spans="1:10">
      <c r="A88" t="s">
        <v>272</v>
      </c>
      <c r="B88" s="3"/>
      <c r="I88" s="6"/>
      <c r="J88" s="6"/>
    </row>
    <row r="89" spans="1:10">
      <c r="A89" t="s">
        <v>273</v>
      </c>
      <c r="B89" s="3"/>
      <c r="I89" s="6"/>
      <c r="J89" s="6"/>
    </row>
    <row r="90" spans="1:10">
      <c r="A90" t="s">
        <v>274</v>
      </c>
      <c r="B90" s="3"/>
      <c r="I90" s="6"/>
      <c r="J90" s="6"/>
    </row>
    <row r="91" spans="1:10">
      <c r="A91" t="s">
        <v>275</v>
      </c>
      <c r="B91" s="3"/>
      <c r="I91" s="6"/>
      <c r="J91" s="6"/>
    </row>
    <row r="92" spans="1:10">
      <c r="A92" t="s">
        <v>276</v>
      </c>
      <c r="B92" s="3"/>
      <c r="I92" s="6"/>
      <c r="J92" s="6"/>
    </row>
    <row r="93" spans="1:10">
      <c r="A93" t="s">
        <v>277</v>
      </c>
      <c r="B93" s="3"/>
      <c r="I93" s="6"/>
      <c r="J93" s="6"/>
    </row>
    <row r="94" spans="1:10">
      <c r="A94" t="s">
        <v>278</v>
      </c>
      <c r="B94" s="3"/>
      <c r="I94" s="6"/>
      <c r="J94" s="6"/>
    </row>
    <row r="95" spans="1:10">
      <c r="A95" t="s">
        <v>279</v>
      </c>
      <c r="B95" s="3"/>
      <c r="I95" s="6"/>
      <c r="J95" s="6"/>
    </row>
    <row r="96" spans="1:10">
      <c r="A96" t="s">
        <v>280</v>
      </c>
      <c r="B96" s="3"/>
      <c r="I96" s="6"/>
      <c r="J96" s="6"/>
    </row>
    <row r="97" spans="1:10">
      <c r="A97" t="s">
        <v>281</v>
      </c>
      <c r="B97" s="3"/>
      <c r="I97" s="6"/>
      <c r="J97" s="6"/>
    </row>
    <row r="98" spans="1:10">
      <c r="A98" t="s">
        <v>282</v>
      </c>
      <c r="B98" s="3"/>
      <c r="I98" s="6"/>
      <c r="J98" s="6"/>
    </row>
    <row r="99" spans="1:10">
      <c r="A99" t="s">
        <v>283</v>
      </c>
      <c r="B99" s="3"/>
      <c r="I99" s="6"/>
      <c r="J99" s="6"/>
    </row>
    <row r="100" spans="1:10">
      <c r="A100" t="s">
        <v>284</v>
      </c>
      <c r="B100" s="3"/>
      <c r="I100" s="6"/>
      <c r="J100" s="6"/>
    </row>
    <row r="101" spans="1:10">
      <c r="A101" t="s">
        <v>285</v>
      </c>
      <c r="B101" s="3"/>
      <c r="I101" s="6"/>
      <c r="J101" s="6"/>
    </row>
    <row r="102" spans="1:10">
      <c r="A102" t="s">
        <v>286</v>
      </c>
      <c r="B102" s="3"/>
      <c r="I102" s="6"/>
      <c r="J102" s="6"/>
    </row>
    <row r="103" spans="1:10">
      <c r="A103" t="s">
        <v>287</v>
      </c>
      <c r="B103" s="3"/>
      <c r="I103" s="6"/>
      <c r="J103" s="6"/>
    </row>
    <row r="104" spans="1:10">
      <c r="A104" t="s">
        <v>288</v>
      </c>
      <c r="B104" s="3"/>
      <c r="I104" s="6"/>
      <c r="J104" s="6"/>
    </row>
  </sheetData>
  <mergeCells count="2">
    <mergeCell ref="A1:Q1"/>
    <mergeCell ref="A2:Q2"/>
  </mergeCells>
  <conditionalFormatting sqref="P5:P104">
    <cfRule type="expression" dxfId="9" priority="1">
      <formula>P5="Oui"</formula>
    </cfRule>
    <cfRule type="expression" dxfId="8" priority="2">
      <formula>P5="Non"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Paramètres!$H$14:$H$15</xm:f>
          </x14:formula1>
          <xm:sqref>F5:H104 P5:P104 K5:N104</xm:sqref>
        </x14:dataValidation>
        <x14:dataValidation type="list" xr:uid="{00000000-0002-0000-0200-000003000000}">
          <x14:formula1>
            <xm:f>Paramètres!$E$14:$E$16</xm:f>
          </x14:formula1>
          <xm:sqref>O5:O104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4"/>
  <sheetViews>
    <sheetView workbookViewId="0">
      <selection sqref="A1:S1"/>
    </sheetView>
  </sheetViews>
  <sheetFormatPr baseColWidth="10" defaultColWidth="9" defaultRowHeight="14.25"/>
  <cols>
    <col min="1" max="1" width="16" customWidth="1"/>
    <col min="2" max="2" width="18" customWidth="1"/>
    <col min="3" max="3" width="16" customWidth="1"/>
    <col min="4" max="4" width="20" customWidth="1"/>
    <col min="5" max="5" width="22" customWidth="1"/>
    <col min="6" max="6" width="26" customWidth="1"/>
    <col min="7" max="7" width="28" customWidth="1"/>
    <col min="8" max="8" width="14" customWidth="1"/>
    <col min="9" max="9" width="30" customWidth="1"/>
    <col min="10" max="10" width="22" customWidth="1"/>
    <col min="11" max="12" width="16" customWidth="1"/>
    <col min="13" max="13" width="20" customWidth="1"/>
    <col min="14" max="14" width="28" customWidth="1"/>
    <col min="15" max="15" width="16" customWidth="1"/>
    <col min="16" max="16" width="18" customWidth="1"/>
    <col min="17" max="17" width="20" customWidth="1"/>
    <col min="18" max="18" width="18" customWidth="1"/>
    <col min="19" max="19" width="28" customWidth="1"/>
  </cols>
  <sheetData>
    <row r="1" spans="1:19" ht="27.95" customHeight="1">
      <c r="A1" s="13" t="s">
        <v>289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ht="32.1" customHeight="1">
      <c r="A4" s="1" t="s">
        <v>290</v>
      </c>
      <c r="B4" s="1" t="s">
        <v>291</v>
      </c>
      <c r="C4" s="1" t="s">
        <v>55</v>
      </c>
      <c r="D4" s="1" t="s">
        <v>292</v>
      </c>
      <c r="E4" s="1" t="s">
        <v>293</v>
      </c>
      <c r="F4" s="1" t="s">
        <v>294</v>
      </c>
      <c r="G4" s="1" t="s">
        <v>295</v>
      </c>
      <c r="H4" s="1" t="s">
        <v>296</v>
      </c>
      <c r="I4" s="1" t="s">
        <v>297</v>
      </c>
      <c r="J4" s="1" t="s">
        <v>298</v>
      </c>
      <c r="K4" s="1" t="s">
        <v>299</v>
      </c>
      <c r="L4" s="1" t="s">
        <v>300</v>
      </c>
      <c r="M4" s="1" t="s">
        <v>301</v>
      </c>
      <c r="N4" s="1" t="s">
        <v>302</v>
      </c>
      <c r="O4" s="1" t="s">
        <v>71</v>
      </c>
      <c r="P4" s="1" t="s">
        <v>303</v>
      </c>
      <c r="Q4" s="1" t="s">
        <v>304</v>
      </c>
      <c r="R4" s="1" t="s">
        <v>305</v>
      </c>
      <c r="S4" s="1" t="s">
        <v>72</v>
      </c>
    </row>
    <row r="5" spans="1:19">
      <c r="A5" t="s">
        <v>306</v>
      </c>
      <c r="B5" s="7"/>
      <c r="L5" s="3"/>
      <c r="P5" s="5"/>
      <c r="Q5" s="5"/>
      <c r="R5" s="5" t="str">
        <f t="shared" ref="R5:R36" si="0">IF(P5="","",P5-Q5)</f>
        <v/>
      </c>
    </row>
    <row r="6" spans="1:19">
      <c r="A6" t="s">
        <v>307</v>
      </c>
      <c r="B6" s="7"/>
      <c r="L6" s="3"/>
      <c r="P6" s="5"/>
      <c r="Q6" s="5"/>
      <c r="R6" s="5" t="str">
        <f t="shared" si="0"/>
        <v/>
      </c>
    </row>
    <row r="7" spans="1:19">
      <c r="A7" t="s">
        <v>308</v>
      </c>
      <c r="B7" s="7"/>
      <c r="L7" s="3"/>
      <c r="P7" s="5"/>
      <c r="Q7" s="5"/>
      <c r="R7" s="5" t="str">
        <f t="shared" si="0"/>
        <v/>
      </c>
    </row>
    <row r="8" spans="1:19">
      <c r="A8" t="s">
        <v>309</v>
      </c>
      <c r="B8" s="7"/>
      <c r="L8" s="3"/>
      <c r="P8" s="5"/>
      <c r="Q8" s="5"/>
      <c r="R8" s="5" t="str">
        <f t="shared" si="0"/>
        <v/>
      </c>
    </row>
    <row r="9" spans="1:19">
      <c r="A9" t="s">
        <v>310</v>
      </c>
      <c r="B9" s="7"/>
      <c r="L9" s="3"/>
      <c r="P9" s="5"/>
      <c r="Q9" s="5"/>
      <c r="R9" s="5" t="str">
        <f t="shared" si="0"/>
        <v/>
      </c>
    </row>
    <row r="10" spans="1:19">
      <c r="A10" t="s">
        <v>311</v>
      </c>
      <c r="B10" s="7"/>
      <c r="L10" s="3"/>
      <c r="P10" s="5"/>
      <c r="Q10" s="5"/>
      <c r="R10" s="5" t="str">
        <f t="shared" si="0"/>
        <v/>
      </c>
    </row>
    <row r="11" spans="1:19">
      <c r="A11" t="s">
        <v>312</v>
      </c>
      <c r="B11" s="7"/>
      <c r="L11" s="3"/>
      <c r="P11" s="5"/>
      <c r="Q11" s="5"/>
      <c r="R11" s="5" t="str">
        <f t="shared" si="0"/>
        <v/>
      </c>
    </row>
    <row r="12" spans="1:19">
      <c r="A12" t="s">
        <v>313</v>
      </c>
      <c r="B12" s="7"/>
      <c r="L12" s="3"/>
      <c r="P12" s="5"/>
      <c r="Q12" s="5"/>
      <c r="R12" s="5" t="str">
        <f t="shared" si="0"/>
        <v/>
      </c>
    </row>
    <row r="13" spans="1:19">
      <c r="A13" t="s">
        <v>314</v>
      </c>
      <c r="B13" s="7"/>
      <c r="L13" s="3"/>
      <c r="P13" s="5"/>
      <c r="Q13" s="5"/>
      <c r="R13" s="5" t="str">
        <f t="shared" si="0"/>
        <v/>
      </c>
    </row>
    <row r="14" spans="1:19">
      <c r="A14" t="s">
        <v>315</v>
      </c>
      <c r="B14" s="7"/>
      <c r="L14" s="3"/>
      <c r="P14" s="5"/>
      <c r="Q14" s="5"/>
      <c r="R14" s="5" t="str">
        <f t="shared" si="0"/>
        <v/>
      </c>
    </row>
    <row r="15" spans="1:19">
      <c r="A15" t="s">
        <v>316</v>
      </c>
      <c r="B15" s="7"/>
      <c r="L15" s="3"/>
      <c r="P15" s="5"/>
      <c r="Q15" s="5"/>
      <c r="R15" s="5" t="str">
        <f t="shared" si="0"/>
        <v/>
      </c>
    </row>
    <row r="16" spans="1:19">
      <c r="A16" t="s">
        <v>317</v>
      </c>
      <c r="B16" s="7"/>
      <c r="L16" s="3"/>
      <c r="P16" s="5"/>
      <c r="Q16" s="5"/>
      <c r="R16" s="5" t="str">
        <f t="shared" si="0"/>
        <v/>
      </c>
    </row>
    <row r="17" spans="1:18">
      <c r="A17" t="s">
        <v>318</v>
      </c>
      <c r="B17" s="7"/>
      <c r="L17" s="3"/>
      <c r="P17" s="5"/>
      <c r="Q17" s="5"/>
      <c r="R17" s="5" t="str">
        <f t="shared" si="0"/>
        <v/>
      </c>
    </row>
    <row r="18" spans="1:18">
      <c r="A18" t="s">
        <v>319</v>
      </c>
      <c r="B18" s="7"/>
      <c r="L18" s="3"/>
      <c r="P18" s="5"/>
      <c r="Q18" s="5"/>
      <c r="R18" s="5" t="str">
        <f t="shared" si="0"/>
        <v/>
      </c>
    </row>
    <row r="19" spans="1:18">
      <c r="A19" t="s">
        <v>320</v>
      </c>
      <c r="B19" s="7"/>
      <c r="L19" s="3"/>
      <c r="P19" s="5"/>
      <c r="Q19" s="5"/>
      <c r="R19" s="5" t="str">
        <f t="shared" si="0"/>
        <v/>
      </c>
    </row>
    <row r="20" spans="1:18">
      <c r="A20" t="s">
        <v>321</v>
      </c>
      <c r="B20" s="7"/>
      <c r="L20" s="3"/>
      <c r="P20" s="5"/>
      <c r="Q20" s="5"/>
      <c r="R20" s="5" t="str">
        <f t="shared" si="0"/>
        <v/>
      </c>
    </row>
    <row r="21" spans="1:18">
      <c r="A21" t="s">
        <v>322</v>
      </c>
      <c r="B21" s="7"/>
      <c r="L21" s="3"/>
      <c r="P21" s="5"/>
      <c r="Q21" s="5"/>
      <c r="R21" s="5" t="str">
        <f t="shared" si="0"/>
        <v/>
      </c>
    </row>
    <row r="22" spans="1:18">
      <c r="A22" t="s">
        <v>323</v>
      </c>
      <c r="B22" s="7"/>
      <c r="L22" s="3"/>
      <c r="P22" s="5"/>
      <c r="Q22" s="5"/>
      <c r="R22" s="5" t="str">
        <f t="shared" si="0"/>
        <v/>
      </c>
    </row>
    <row r="23" spans="1:18">
      <c r="A23" t="s">
        <v>324</v>
      </c>
      <c r="B23" s="7"/>
      <c r="L23" s="3"/>
      <c r="P23" s="5"/>
      <c r="Q23" s="5"/>
      <c r="R23" s="5" t="str">
        <f t="shared" si="0"/>
        <v/>
      </c>
    </row>
    <row r="24" spans="1:18">
      <c r="A24" t="s">
        <v>325</v>
      </c>
      <c r="B24" s="7"/>
      <c r="L24" s="3"/>
      <c r="P24" s="5"/>
      <c r="Q24" s="5"/>
      <c r="R24" s="5" t="str">
        <f t="shared" si="0"/>
        <v/>
      </c>
    </row>
    <row r="25" spans="1:18">
      <c r="A25" t="s">
        <v>326</v>
      </c>
      <c r="B25" s="7"/>
      <c r="L25" s="3"/>
      <c r="P25" s="5"/>
      <c r="Q25" s="5"/>
      <c r="R25" s="5" t="str">
        <f t="shared" si="0"/>
        <v/>
      </c>
    </row>
    <row r="26" spans="1:18">
      <c r="A26" t="s">
        <v>327</v>
      </c>
      <c r="B26" s="7"/>
      <c r="L26" s="3"/>
      <c r="P26" s="5"/>
      <c r="Q26" s="5"/>
      <c r="R26" s="5" t="str">
        <f t="shared" si="0"/>
        <v/>
      </c>
    </row>
    <row r="27" spans="1:18">
      <c r="A27" t="s">
        <v>328</v>
      </c>
      <c r="B27" s="7"/>
      <c r="L27" s="3"/>
      <c r="P27" s="5"/>
      <c r="Q27" s="5"/>
      <c r="R27" s="5" t="str">
        <f t="shared" si="0"/>
        <v/>
      </c>
    </row>
    <row r="28" spans="1:18">
      <c r="A28" t="s">
        <v>329</v>
      </c>
      <c r="B28" s="7"/>
      <c r="L28" s="3"/>
      <c r="P28" s="5"/>
      <c r="Q28" s="5"/>
      <c r="R28" s="5" t="str">
        <f t="shared" si="0"/>
        <v/>
      </c>
    </row>
    <row r="29" spans="1:18">
      <c r="A29" t="s">
        <v>330</v>
      </c>
      <c r="B29" s="7"/>
      <c r="L29" s="3"/>
      <c r="P29" s="5"/>
      <c r="Q29" s="5"/>
      <c r="R29" s="5" t="str">
        <f t="shared" si="0"/>
        <v/>
      </c>
    </row>
    <row r="30" spans="1:18">
      <c r="A30" t="s">
        <v>331</v>
      </c>
      <c r="B30" s="7"/>
      <c r="L30" s="3"/>
      <c r="P30" s="5"/>
      <c r="Q30" s="5"/>
      <c r="R30" s="5" t="str">
        <f t="shared" si="0"/>
        <v/>
      </c>
    </row>
    <row r="31" spans="1:18">
      <c r="A31" t="s">
        <v>332</v>
      </c>
      <c r="B31" s="7"/>
      <c r="L31" s="3"/>
      <c r="P31" s="5"/>
      <c r="Q31" s="5"/>
      <c r="R31" s="5" t="str">
        <f t="shared" si="0"/>
        <v/>
      </c>
    </row>
    <row r="32" spans="1:18">
      <c r="A32" t="s">
        <v>333</v>
      </c>
      <c r="B32" s="7"/>
      <c r="L32" s="3"/>
      <c r="P32" s="5"/>
      <c r="Q32" s="5"/>
      <c r="R32" s="5" t="str">
        <f t="shared" si="0"/>
        <v/>
      </c>
    </row>
    <row r="33" spans="1:18">
      <c r="A33" t="s">
        <v>334</v>
      </c>
      <c r="B33" s="7"/>
      <c r="L33" s="3"/>
      <c r="P33" s="5"/>
      <c r="Q33" s="5"/>
      <c r="R33" s="5" t="str">
        <f t="shared" si="0"/>
        <v/>
      </c>
    </row>
    <row r="34" spans="1:18">
      <c r="A34" t="s">
        <v>335</v>
      </c>
      <c r="B34" s="7"/>
      <c r="L34" s="3"/>
      <c r="P34" s="5"/>
      <c r="Q34" s="5"/>
      <c r="R34" s="5" t="str">
        <f t="shared" si="0"/>
        <v/>
      </c>
    </row>
    <row r="35" spans="1:18">
      <c r="A35" t="s">
        <v>336</v>
      </c>
      <c r="B35" s="7"/>
      <c r="L35" s="3"/>
      <c r="P35" s="5"/>
      <c r="Q35" s="5"/>
      <c r="R35" s="5" t="str">
        <f t="shared" si="0"/>
        <v/>
      </c>
    </row>
    <row r="36" spans="1:18">
      <c r="A36" t="s">
        <v>337</v>
      </c>
      <c r="B36" s="7"/>
      <c r="L36" s="3"/>
      <c r="P36" s="5"/>
      <c r="Q36" s="5"/>
      <c r="R36" s="5" t="str">
        <f t="shared" si="0"/>
        <v/>
      </c>
    </row>
    <row r="37" spans="1:18">
      <c r="A37" t="s">
        <v>338</v>
      </c>
      <c r="B37" s="7"/>
      <c r="L37" s="3"/>
      <c r="P37" s="5"/>
      <c r="Q37" s="5"/>
      <c r="R37" s="5" t="str">
        <f t="shared" ref="R37:R68" si="1">IF(P37="","",P37-Q37)</f>
        <v/>
      </c>
    </row>
    <row r="38" spans="1:18">
      <c r="A38" t="s">
        <v>339</v>
      </c>
      <c r="B38" s="7"/>
      <c r="L38" s="3"/>
      <c r="P38" s="5"/>
      <c r="Q38" s="5"/>
      <c r="R38" s="5" t="str">
        <f t="shared" si="1"/>
        <v/>
      </c>
    </row>
    <row r="39" spans="1:18">
      <c r="A39" t="s">
        <v>340</v>
      </c>
      <c r="B39" s="7"/>
      <c r="L39" s="3"/>
      <c r="P39" s="5"/>
      <c r="Q39" s="5"/>
      <c r="R39" s="5" t="str">
        <f t="shared" si="1"/>
        <v/>
      </c>
    </row>
    <row r="40" spans="1:18">
      <c r="A40" t="s">
        <v>341</v>
      </c>
      <c r="B40" s="7"/>
      <c r="L40" s="3"/>
      <c r="P40" s="5"/>
      <c r="Q40" s="5"/>
      <c r="R40" s="5" t="str">
        <f t="shared" si="1"/>
        <v/>
      </c>
    </row>
    <row r="41" spans="1:18">
      <c r="A41" t="s">
        <v>342</v>
      </c>
      <c r="B41" s="7"/>
      <c r="L41" s="3"/>
      <c r="P41" s="5"/>
      <c r="Q41" s="5"/>
      <c r="R41" s="5" t="str">
        <f t="shared" si="1"/>
        <v/>
      </c>
    </row>
    <row r="42" spans="1:18">
      <c r="A42" t="s">
        <v>343</v>
      </c>
      <c r="B42" s="7"/>
      <c r="L42" s="3"/>
      <c r="P42" s="5"/>
      <c r="Q42" s="5"/>
      <c r="R42" s="5" t="str">
        <f t="shared" si="1"/>
        <v/>
      </c>
    </row>
    <row r="43" spans="1:18">
      <c r="A43" t="s">
        <v>344</v>
      </c>
      <c r="B43" s="7"/>
      <c r="L43" s="3"/>
      <c r="P43" s="5"/>
      <c r="Q43" s="5"/>
      <c r="R43" s="5" t="str">
        <f t="shared" si="1"/>
        <v/>
      </c>
    </row>
    <row r="44" spans="1:18">
      <c r="A44" t="s">
        <v>345</v>
      </c>
      <c r="B44" s="7"/>
      <c r="L44" s="3"/>
      <c r="P44" s="5"/>
      <c r="Q44" s="5"/>
      <c r="R44" s="5" t="str">
        <f t="shared" si="1"/>
        <v/>
      </c>
    </row>
    <row r="45" spans="1:18">
      <c r="A45" t="s">
        <v>346</v>
      </c>
      <c r="B45" s="7"/>
      <c r="L45" s="3"/>
      <c r="P45" s="5"/>
      <c r="Q45" s="5"/>
      <c r="R45" s="5" t="str">
        <f t="shared" si="1"/>
        <v/>
      </c>
    </row>
    <row r="46" spans="1:18">
      <c r="A46" t="s">
        <v>347</v>
      </c>
      <c r="B46" s="7"/>
      <c r="L46" s="3"/>
      <c r="P46" s="5"/>
      <c r="Q46" s="5"/>
      <c r="R46" s="5" t="str">
        <f t="shared" si="1"/>
        <v/>
      </c>
    </row>
    <row r="47" spans="1:18">
      <c r="A47" t="s">
        <v>348</v>
      </c>
      <c r="B47" s="7"/>
      <c r="L47" s="3"/>
      <c r="P47" s="5"/>
      <c r="Q47" s="5"/>
      <c r="R47" s="5" t="str">
        <f t="shared" si="1"/>
        <v/>
      </c>
    </row>
    <row r="48" spans="1:18">
      <c r="A48" t="s">
        <v>349</v>
      </c>
      <c r="B48" s="7"/>
      <c r="L48" s="3"/>
      <c r="P48" s="5"/>
      <c r="Q48" s="5"/>
      <c r="R48" s="5" t="str">
        <f t="shared" si="1"/>
        <v/>
      </c>
    </row>
    <row r="49" spans="1:18">
      <c r="A49" t="s">
        <v>350</v>
      </c>
      <c r="B49" s="7"/>
      <c r="L49" s="3"/>
      <c r="P49" s="5"/>
      <c r="Q49" s="5"/>
      <c r="R49" s="5" t="str">
        <f t="shared" si="1"/>
        <v/>
      </c>
    </row>
    <row r="50" spans="1:18">
      <c r="A50" t="s">
        <v>351</v>
      </c>
      <c r="B50" s="7"/>
      <c r="L50" s="3"/>
      <c r="P50" s="5"/>
      <c r="Q50" s="5"/>
      <c r="R50" s="5" t="str">
        <f t="shared" si="1"/>
        <v/>
      </c>
    </row>
    <row r="51" spans="1:18">
      <c r="A51" t="s">
        <v>352</v>
      </c>
      <c r="B51" s="7"/>
      <c r="L51" s="3"/>
      <c r="P51" s="5"/>
      <c r="Q51" s="5"/>
      <c r="R51" s="5" t="str">
        <f t="shared" si="1"/>
        <v/>
      </c>
    </row>
    <row r="52" spans="1:18">
      <c r="A52" t="s">
        <v>353</v>
      </c>
      <c r="B52" s="7"/>
      <c r="L52" s="3"/>
      <c r="P52" s="5"/>
      <c r="Q52" s="5"/>
      <c r="R52" s="5" t="str">
        <f t="shared" si="1"/>
        <v/>
      </c>
    </row>
    <row r="53" spans="1:18">
      <c r="A53" t="s">
        <v>354</v>
      </c>
      <c r="B53" s="7"/>
      <c r="L53" s="3"/>
      <c r="P53" s="5"/>
      <c r="Q53" s="5"/>
      <c r="R53" s="5" t="str">
        <f t="shared" si="1"/>
        <v/>
      </c>
    </row>
    <row r="54" spans="1:18">
      <c r="A54" t="s">
        <v>355</v>
      </c>
      <c r="B54" s="7"/>
      <c r="L54" s="3"/>
      <c r="P54" s="5"/>
      <c r="Q54" s="5"/>
      <c r="R54" s="5" t="str">
        <f t="shared" si="1"/>
        <v/>
      </c>
    </row>
    <row r="55" spans="1:18">
      <c r="A55" t="s">
        <v>356</v>
      </c>
      <c r="B55" s="7"/>
      <c r="L55" s="3"/>
      <c r="P55" s="5"/>
      <c r="Q55" s="5"/>
      <c r="R55" s="5" t="str">
        <f t="shared" si="1"/>
        <v/>
      </c>
    </row>
    <row r="56" spans="1:18">
      <c r="A56" t="s">
        <v>357</v>
      </c>
      <c r="B56" s="7"/>
      <c r="L56" s="3"/>
      <c r="P56" s="5"/>
      <c r="Q56" s="5"/>
      <c r="R56" s="5" t="str">
        <f t="shared" si="1"/>
        <v/>
      </c>
    </row>
    <row r="57" spans="1:18">
      <c r="A57" t="s">
        <v>358</v>
      </c>
      <c r="B57" s="7"/>
      <c r="L57" s="3"/>
      <c r="P57" s="5"/>
      <c r="Q57" s="5"/>
      <c r="R57" s="5" t="str">
        <f t="shared" si="1"/>
        <v/>
      </c>
    </row>
    <row r="58" spans="1:18">
      <c r="A58" t="s">
        <v>359</v>
      </c>
      <c r="B58" s="7"/>
      <c r="L58" s="3"/>
      <c r="P58" s="5"/>
      <c r="Q58" s="5"/>
      <c r="R58" s="5" t="str">
        <f t="shared" si="1"/>
        <v/>
      </c>
    </row>
    <row r="59" spans="1:18">
      <c r="A59" t="s">
        <v>360</v>
      </c>
      <c r="B59" s="7"/>
      <c r="L59" s="3"/>
      <c r="P59" s="5"/>
      <c r="Q59" s="5"/>
      <c r="R59" s="5" t="str">
        <f t="shared" si="1"/>
        <v/>
      </c>
    </row>
    <row r="60" spans="1:18">
      <c r="A60" t="s">
        <v>361</v>
      </c>
      <c r="B60" s="7"/>
      <c r="L60" s="3"/>
      <c r="P60" s="5"/>
      <c r="Q60" s="5"/>
      <c r="R60" s="5" t="str">
        <f t="shared" si="1"/>
        <v/>
      </c>
    </row>
    <row r="61" spans="1:18">
      <c r="A61" t="s">
        <v>362</v>
      </c>
      <c r="B61" s="7"/>
      <c r="L61" s="3"/>
      <c r="P61" s="5"/>
      <c r="Q61" s="5"/>
      <c r="R61" s="5" t="str">
        <f t="shared" si="1"/>
        <v/>
      </c>
    </row>
    <row r="62" spans="1:18">
      <c r="A62" t="s">
        <v>363</v>
      </c>
      <c r="B62" s="7"/>
      <c r="L62" s="3"/>
      <c r="P62" s="5"/>
      <c r="Q62" s="5"/>
      <c r="R62" s="5" t="str">
        <f t="shared" si="1"/>
        <v/>
      </c>
    </row>
    <row r="63" spans="1:18">
      <c r="A63" t="s">
        <v>364</v>
      </c>
      <c r="B63" s="7"/>
      <c r="L63" s="3"/>
      <c r="P63" s="5"/>
      <c r="Q63" s="5"/>
      <c r="R63" s="5" t="str">
        <f t="shared" si="1"/>
        <v/>
      </c>
    </row>
    <row r="64" spans="1:18">
      <c r="A64" t="s">
        <v>365</v>
      </c>
      <c r="B64" s="7"/>
      <c r="L64" s="3"/>
      <c r="P64" s="5"/>
      <c r="Q64" s="5"/>
      <c r="R64" s="5" t="str">
        <f t="shared" si="1"/>
        <v/>
      </c>
    </row>
    <row r="65" spans="1:18">
      <c r="A65" t="s">
        <v>366</v>
      </c>
      <c r="B65" s="7"/>
      <c r="L65" s="3"/>
      <c r="P65" s="5"/>
      <c r="Q65" s="5"/>
      <c r="R65" s="5" t="str">
        <f t="shared" si="1"/>
        <v/>
      </c>
    </row>
    <row r="66" spans="1:18">
      <c r="A66" t="s">
        <v>367</v>
      </c>
      <c r="B66" s="7"/>
      <c r="L66" s="3"/>
      <c r="P66" s="5"/>
      <c r="Q66" s="5"/>
      <c r="R66" s="5" t="str">
        <f t="shared" si="1"/>
        <v/>
      </c>
    </row>
    <row r="67" spans="1:18">
      <c r="A67" t="s">
        <v>368</v>
      </c>
      <c r="B67" s="7"/>
      <c r="L67" s="3"/>
      <c r="P67" s="5"/>
      <c r="Q67" s="5"/>
      <c r="R67" s="5" t="str">
        <f t="shared" si="1"/>
        <v/>
      </c>
    </row>
    <row r="68" spans="1:18">
      <c r="A68" t="s">
        <v>369</v>
      </c>
      <c r="B68" s="7"/>
      <c r="L68" s="3"/>
      <c r="P68" s="5"/>
      <c r="Q68" s="5"/>
      <c r="R68" s="5" t="str">
        <f t="shared" si="1"/>
        <v/>
      </c>
    </row>
    <row r="69" spans="1:18">
      <c r="A69" t="s">
        <v>370</v>
      </c>
      <c r="B69" s="7"/>
      <c r="L69" s="3"/>
      <c r="P69" s="5"/>
      <c r="Q69" s="5"/>
      <c r="R69" s="5" t="str">
        <f t="shared" ref="R69:R100" si="2">IF(P69="","",P69-Q69)</f>
        <v/>
      </c>
    </row>
    <row r="70" spans="1:18">
      <c r="A70" t="s">
        <v>371</v>
      </c>
      <c r="B70" s="7"/>
      <c r="L70" s="3"/>
      <c r="P70" s="5"/>
      <c r="Q70" s="5"/>
      <c r="R70" s="5" t="str">
        <f t="shared" si="2"/>
        <v/>
      </c>
    </row>
    <row r="71" spans="1:18">
      <c r="A71" t="s">
        <v>372</v>
      </c>
      <c r="B71" s="7"/>
      <c r="L71" s="3"/>
      <c r="P71" s="5"/>
      <c r="Q71" s="5"/>
      <c r="R71" s="5" t="str">
        <f t="shared" si="2"/>
        <v/>
      </c>
    </row>
    <row r="72" spans="1:18">
      <c r="A72" t="s">
        <v>373</v>
      </c>
      <c r="B72" s="7"/>
      <c r="L72" s="3"/>
      <c r="P72" s="5"/>
      <c r="Q72" s="5"/>
      <c r="R72" s="5" t="str">
        <f t="shared" si="2"/>
        <v/>
      </c>
    </row>
    <row r="73" spans="1:18">
      <c r="A73" t="s">
        <v>374</v>
      </c>
      <c r="B73" s="7"/>
      <c r="L73" s="3"/>
      <c r="P73" s="5"/>
      <c r="Q73" s="5"/>
      <c r="R73" s="5" t="str">
        <f t="shared" si="2"/>
        <v/>
      </c>
    </row>
    <row r="74" spans="1:18">
      <c r="A74" t="s">
        <v>375</v>
      </c>
      <c r="B74" s="7"/>
      <c r="L74" s="3"/>
      <c r="P74" s="5"/>
      <c r="Q74" s="5"/>
      <c r="R74" s="5" t="str">
        <f t="shared" si="2"/>
        <v/>
      </c>
    </row>
    <row r="75" spans="1:18">
      <c r="A75" t="s">
        <v>376</v>
      </c>
      <c r="B75" s="7"/>
      <c r="L75" s="3"/>
      <c r="P75" s="5"/>
      <c r="Q75" s="5"/>
      <c r="R75" s="5" t="str">
        <f t="shared" si="2"/>
        <v/>
      </c>
    </row>
    <row r="76" spans="1:18">
      <c r="A76" t="s">
        <v>377</v>
      </c>
      <c r="B76" s="7"/>
      <c r="L76" s="3"/>
      <c r="P76" s="5"/>
      <c r="Q76" s="5"/>
      <c r="R76" s="5" t="str">
        <f t="shared" si="2"/>
        <v/>
      </c>
    </row>
    <row r="77" spans="1:18">
      <c r="A77" t="s">
        <v>378</v>
      </c>
      <c r="B77" s="7"/>
      <c r="L77" s="3"/>
      <c r="P77" s="5"/>
      <c r="Q77" s="5"/>
      <c r="R77" s="5" t="str">
        <f t="shared" si="2"/>
        <v/>
      </c>
    </row>
    <row r="78" spans="1:18">
      <c r="A78" t="s">
        <v>379</v>
      </c>
      <c r="B78" s="7"/>
      <c r="L78" s="3"/>
      <c r="P78" s="5"/>
      <c r="Q78" s="5"/>
      <c r="R78" s="5" t="str">
        <f t="shared" si="2"/>
        <v/>
      </c>
    </row>
    <row r="79" spans="1:18">
      <c r="A79" t="s">
        <v>380</v>
      </c>
      <c r="B79" s="7"/>
      <c r="L79" s="3"/>
      <c r="P79" s="5"/>
      <c r="Q79" s="5"/>
      <c r="R79" s="5" t="str">
        <f t="shared" si="2"/>
        <v/>
      </c>
    </row>
    <row r="80" spans="1:18">
      <c r="A80" t="s">
        <v>381</v>
      </c>
      <c r="B80" s="7"/>
      <c r="L80" s="3"/>
      <c r="P80" s="5"/>
      <c r="Q80" s="5"/>
      <c r="R80" s="5" t="str">
        <f t="shared" si="2"/>
        <v/>
      </c>
    </row>
    <row r="81" spans="1:18">
      <c r="A81" t="s">
        <v>382</v>
      </c>
      <c r="B81" s="7"/>
      <c r="L81" s="3"/>
      <c r="P81" s="5"/>
      <c r="Q81" s="5"/>
      <c r="R81" s="5" t="str">
        <f t="shared" si="2"/>
        <v/>
      </c>
    </row>
    <row r="82" spans="1:18">
      <c r="A82" t="s">
        <v>383</v>
      </c>
      <c r="B82" s="7"/>
      <c r="L82" s="3"/>
      <c r="P82" s="5"/>
      <c r="Q82" s="5"/>
      <c r="R82" s="5" t="str">
        <f t="shared" si="2"/>
        <v/>
      </c>
    </row>
    <row r="83" spans="1:18">
      <c r="A83" t="s">
        <v>384</v>
      </c>
      <c r="B83" s="7"/>
      <c r="L83" s="3"/>
      <c r="P83" s="5"/>
      <c r="Q83" s="5"/>
      <c r="R83" s="5" t="str">
        <f t="shared" si="2"/>
        <v/>
      </c>
    </row>
    <row r="84" spans="1:18">
      <c r="A84" t="s">
        <v>385</v>
      </c>
      <c r="B84" s="7"/>
      <c r="L84" s="3"/>
      <c r="P84" s="5"/>
      <c r="Q84" s="5"/>
      <c r="R84" s="5" t="str">
        <f t="shared" si="2"/>
        <v/>
      </c>
    </row>
    <row r="85" spans="1:18">
      <c r="A85" t="s">
        <v>386</v>
      </c>
      <c r="B85" s="7"/>
      <c r="L85" s="3"/>
      <c r="P85" s="5"/>
      <c r="Q85" s="5"/>
      <c r="R85" s="5" t="str">
        <f t="shared" si="2"/>
        <v/>
      </c>
    </row>
    <row r="86" spans="1:18">
      <c r="A86" t="s">
        <v>387</v>
      </c>
      <c r="B86" s="7"/>
      <c r="L86" s="3"/>
      <c r="P86" s="5"/>
      <c r="Q86" s="5"/>
      <c r="R86" s="5" t="str">
        <f t="shared" si="2"/>
        <v/>
      </c>
    </row>
    <row r="87" spans="1:18">
      <c r="A87" t="s">
        <v>388</v>
      </c>
      <c r="B87" s="7"/>
      <c r="L87" s="3"/>
      <c r="P87" s="5"/>
      <c r="Q87" s="5"/>
      <c r="R87" s="5" t="str">
        <f t="shared" si="2"/>
        <v/>
      </c>
    </row>
    <row r="88" spans="1:18">
      <c r="A88" t="s">
        <v>389</v>
      </c>
      <c r="B88" s="7"/>
      <c r="L88" s="3"/>
      <c r="P88" s="5"/>
      <c r="Q88" s="5"/>
      <c r="R88" s="5" t="str">
        <f t="shared" si="2"/>
        <v/>
      </c>
    </row>
    <row r="89" spans="1:18">
      <c r="A89" t="s">
        <v>390</v>
      </c>
      <c r="B89" s="7"/>
      <c r="L89" s="3"/>
      <c r="P89" s="5"/>
      <c r="Q89" s="5"/>
      <c r="R89" s="5" t="str">
        <f t="shared" si="2"/>
        <v/>
      </c>
    </row>
    <row r="90" spans="1:18">
      <c r="A90" t="s">
        <v>391</v>
      </c>
      <c r="B90" s="7"/>
      <c r="L90" s="3"/>
      <c r="P90" s="5"/>
      <c r="Q90" s="5"/>
      <c r="R90" s="5" t="str">
        <f t="shared" si="2"/>
        <v/>
      </c>
    </row>
    <row r="91" spans="1:18">
      <c r="A91" t="s">
        <v>392</v>
      </c>
      <c r="B91" s="7"/>
      <c r="L91" s="3"/>
      <c r="P91" s="5"/>
      <c r="Q91" s="5"/>
      <c r="R91" s="5" t="str">
        <f t="shared" si="2"/>
        <v/>
      </c>
    </row>
    <row r="92" spans="1:18">
      <c r="A92" t="s">
        <v>393</v>
      </c>
      <c r="B92" s="7"/>
      <c r="L92" s="3"/>
      <c r="P92" s="5"/>
      <c r="Q92" s="5"/>
      <c r="R92" s="5" t="str">
        <f t="shared" si="2"/>
        <v/>
      </c>
    </row>
    <row r="93" spans="1:18">
      <c r="A93" t="s">
        <v>394</v>
      </c>
      <c r="B93" s="7"/>
      <c r="L93" s="3"/>
      <c r="P93" s="5"/>
      <c r="Q93" s="5"/>
      <c r="R93" s="5" t="str">
        <f t="shared" si="2"/>
        <v/>
      </c>
    </row>
    <row r="94" spans="1:18">
      <c r="A94" t="s">
        <v>395</v>
      </c>
      <c r="B94" s="7"/>
      <c r="L94" s="3"/>
      <c r="P94" s="5"/>
      <c r="Q94" s="5"/>
      <c r="R94" s="5" t="str">
        <f t="shared" si="2"/>
        <v/>
      </c>
    </row>
    <row r="95" spans="1:18">
      <c r="A95" t="s">
        <v>396</v>
      </c>
      <c r="B95" s="7"/>
      <c r="L95" s="3"/>
      <c r="P95" s="5"/>
      <c r="Q95" s="5"/>
      <c r="R95" s="5" t="str">
        <f t="shared" si="2"/>
        <v/>
      </c>
    </row>
    <row r="96" spans="1:18">
      <c r="A96" t="s">
        <v>397</v>
      </c>
      <c r="B96" s="7"/>
      <c r="L96" s="3"/>
      <c r="P96" s="5"/>
      <c r="Q96" s="5"/>
      <c r="R96" s="5" t="str">
        <f t="shared" si="2"/>
        <v/>
      </c>
    </row>
    <row r="97" spans="1:18">
      <c r="A97" t="s">
        <v>398</v>
      </c>
      <c r="B97" s="7"/>
      <c r="L97" s="3"/>
      <c r="P97" s="5"/>
      <c r="Q97" s="5"/>
      <c r="R97" s="5" t="str">
        <f t="shared" si="2"/>
        <v/>
      </c>
    </row>
    <row r="98" spans="1:18">
      <c r="A98" t="s">
        <v>399</v>
      </c>
      <c r="B98" s="7"/>
      <c r="L98" s="3"/>
      <c r="P98" s="5"/>
      <c r="Q98" s="5"/>
      <c r="R98" s="5" t="str">
        <f t="shared" si="2"/>
        <v/>
      </c>
    </row>
    <row r="99" spans="1:18">
      <c r="A99" t="s">
        <v>400</v>
      </c>
      <c r="B99" s="7"/>
      <c r="L99" s="3"/>
      <c r="P99" s="5"/>
      <c r="Q99" s="5"/>
      <c r="R99" s="5" t="str">
        <f t="shared" si="2"/>
        <v/>
      </c>
    </row>
    <row r="100" spans="1:18">
      <c r="A100" t="s">
        <v>401</v>
      </c>
      <c r="B100" s="7"/>
      <c r="L100" s="3"/>
      <c r="P100" s="5"/>
      <c r="Q100" s="5"/>
      <c r="R100" s="5" t="str">
        <f t="shared" si="2"/>
        <v/>
      </c>
    </row>
    <row r="101" spans="1:18">
      <c r="A101" t="s">
        <v>402</v>
      </c>
      <c r="B101" s="7"/>
      <c r="L101" s="3"/>
      <c r="P101" s="5"/>
      <c r="Q101" s="5"/>
      <c r="R101" s="5" t="str">
        <f t="shared" ref="R101:R104" si="3">IF(P101="","",P101-Q101)</f>
        <v/>
      </c>
    </row>
    <row r="102" spans="1:18">
      <c r="A102" t="s">
        <v>403</v>
      </c>
      <c r="B102" s="7"/>
      <c r="L102" s="3"/>
      <c r="P102" s="5"/>
      <c r="Q102" s="5"/>
      <c r="R102" s="5" t="str">
        <f t="shared" si="3"/>
        <v/>
      </c>
    </row>
    <row r="103" spans="1:18">
      <c r="A103" t="s">
        <v>404</v>
      </c>
      <c r="B103" s="7"/>
      <c r="L103" s="3"/>
      <c r="P103" s="5"/>
      <c r="Q103" s="5"/>
      <c r="R103" s="5" t="str">
        <f t="shared" si="3"/>
        <v/>
      </c>
    </row>
    <row r="104" spans="1:18">
      <c r="A104" t="s">
        <v>405</v>
      </c>
      <c r="B104" s="7"/>
      <c r="L104" s="3"/>
      <c r="P104" s="5"/>
      <c r="Q104" s="5"/>
      <c r="R104" s="5" t="str">
        <f t="shared" si="3"/>
        <v/>
      </c>
    </row>
  </sheetData>
  <mergeCells count="2">
    <mergeCell ref="A1:S1"/>
    <mergeCell ref="A2:S2"/>
  </mergeCells>
  <conditionalFormatting sqref="H5:H104">
    <cfRule type="expression" dxfId="7" priority="1">
      <formula>H5="Grave"</formula>
    </cfRule>
  </conditionalFormatting>
  <conditionalFormatting sqref="O5:O104">
    <cfRule type="expression" dxfId="6" priority="2">
      <formula>O5="Clôturé"</formula>
    </cfRule>
  </conditionalFormatting>
  <dataValidations count="1">
    <dataValidation type="list" sqref="O5:O104" xr:uid="{00000000-0002-0000-0300-000002000000}">
      <formula1>"Ouvert,En traitement,Déclaré assureur,Clôturé"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Paramètres!$F$14:$F$16</xm:f>
          </x14:formula1>
          <xm:sqref>H5:H104</xm:sqref>
        </x14:dataValidation>
        <x14:dataValidation type="list" xr:uid="{00000000-0002-0000-0300-000001000000}">
          <x14:formula1>
            <xm:f>Paramètres!$H$14:$H$15</xm:f>
          </x14:formula1>
          <xm:sqref>K5:K104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4"/>
  <sheetViews>
    <sheetView workbookViewId="0">
      <selection sqref="A1:P1"/>
    </sheetView>
  </sheetViews>
  <sheetFormatPr baseColWidth="10" defaultColWidth="9" defaultRowHeight="14.25"/>
  <cols>
    <col min="1" max="1" width="18" customWidth="1"/>
    <col min="2" max="2" width="14" customWidth="1"/>
    <col min="3" max="3" width="16" customWidth="1"/>
    <col min="4" max="4" width="22" customWidth="1"/>
    <col min="5" max="5" width="14" customWidth="1"/>
    <col min="6" max="6" width="24" customWidth="1"/>
    <col min="7" max="7" width="32" customWidth="1"/>
    <col min="8" max="8" width="18" customWidth="1"/>
    <col min="9" max="10" width="28" customWidth="1"/>
    <col min="11" max="11" width="14" customWidth="1"/>
    <col min="12" max="12" width="15" customWidth="1"/>
    <col min="13" max="13" width="16" customWidth="1"/>
    <col min="14" max="14" width="28" customWidth="1"/>
    <col min="15" max="15" width="18" customWidth="1"/>
    <col min="16" max="16" width="24" customWidth="1"/>
  </cols>
  <sheetData>
    <row r="1" spans="1:16" ht="27.95" customHeight="1">
      <c r="A1" s="13" t="s">
        <v>406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4" spans="1:16" ht="32.1" customHeight="1">
      <c r="A4" s="1" t="s">
        <v>407</v>
      </c>
      <c r="B4" s="1" t="s">
        <v>408</v>
      </c>
      <c r="C4" s="1" t="s">
        <v>55</v>
      </c>
      <c r="D4" s="1" t="s">
        <v>58</v>
      </c>
      <c r="E4" s="1" t="s">
        <v>62</v>
      </c>
      <c r="F4" s="1" t="s">
        <v>409</v>
      </c>
      <c r="G4" s="1" t="s">
        <v>410</v>
      </c>
      <c r="H4" s="1" t="s">
        <v>411</v>
      </c>
      <c r="I4" s="1" t="s">
        <v>412</v>
      </c>
      <c r="J4" s="1" t="s">
        <v>413</v>
      </c>
      <c r="K4" s="1" t="s">
        <v>414</v>
      </c>
      <c r="L4" s="1" t="s">
        <v>415</v>
      </c>
      <c r="M4" s="1" t="s">
        <v>71</v>
      </c>
      <c r="N4" s="1" t="s">
        <v>302</v>
      </c>
      <c r="O4" s="1" t="s">
        <v>416</v>
      </c>
      <c r="P4" s="1" t="s">
        <v>72</v>
      </c>
    </row>
    <row r="5" spans="1:16">
      <c r="A5" t="s">
        <v>417</v>
      </c>
      <c r="B5" s="3"/>
      <c r="E5" s="3"/>
      <c r="K5" s="3"/>
      <c r="L5" s="6" t="str">
        <f t="shared" ref="L5:L36" si="0">IF(K5="","",K5-B5)</f>
        <v/>
      </c>
    </row>
    <row r="6" spans="1:16">
      <c r="A6" t="s">
        <v>418</v>
      </c>
      <c r="B6" s="3"/>
      <c r="E6" s="3"/>
      <c r="K6" s="3"/>
      <c r="L6" s="6" t="str">
        <f t="shared" si="0"/>
        <v/>
      </c>
    </row>
    <row r="7" spans="1:16">
      <c r="A7" t="s">
        <v>419</v>
      </c>
      <c r="B7" s="3"/>
      <c r="E7" s="3"/>
      <c r="K7" s="3"/>
      <c r="L7" s="6" t="str">
        <f t="shared" si="0"/>
        <v/>
      </c>
    </row>
    <row r="8" spans="1:16">
      <c r="A8" t="s">
        <v>420</v>
      </c>
      <c r="B8" s="3"/>
      <c r="E8" s="3"/>
      <c r="K8" s="3"/>
      <c r="L8" s="6" t="str">
        <f t="shared" si="0"/>
        <v/>
      </c>
    </row>
    <row r="9" spans="1:16">
      <c r="A9" t="s">
        <v>421</v>
      </c>
      <c r="B9" s="3"/>
      <c r="E9" s="3"/>
      <c r="K9" s="3"/>
      <c r="L9" s="6" t="str">
        <f t="shared" si="0"/>
        <v/>
      </c>
    </row>
    <row r="10" spans="1:16">
      <c r="A10" t="s">
        <v>422</v>
      </c>
      <c r="B10" s="3"/>
      <c r="E10" s="3"/>
      <c r="K10" s="3"/>
      <c r="L10" s="6" t="str">
        <f t="shared" si="0"/>
        <v/>
      </c>
    </row>
    <row r="11" spans="1:16">
      <c r="A11" t="s">
        <v>423</v>
      </c>
      <c r="B11" s="3"/>
      <c r="E11" s="3"/>
      <c r="K11" s="3"/>
      <c r="L11" s="6" t="str">
        <f t="shared" si="0"/>
        <v/>
      </c>
    </row>
    <row r="12" spans="1:16">
      <c r="A12" t="s">
        <v>424</v>
      </c>
      <c r="B12" s="3"/>
      <c r="E12" s="3"/>
      <c r="K12" s="3"/>
      <c r="L12" s="6" t="str">
        <f t="shared" si="0"/>
        <v/>
      </c>
    </row>
    <row r="13" spans="1:16">
      <c r="A13" t="s">
        <v>425</v>
      </c>
      <c r="B13" s="3"/>
      <c r="E13" s="3"/>
      <c r="K13" s="3"/>
      <c r="L13" s="6" t="str">
        <f t="shared" si="0"/>
        <v/>
      </c>
    </row>
    <row r="14" spans="1:16">
      <c r="A14" t="s">
        <v>426</v>
      </c>
      <c r="B14" s="3"/>
      <c r="E14" s="3"/>
      <c r="K14" s="3"/>
      <c r="L14" s="6" t="str">
        <f t="shared" si="0"/>
        <v/>
      </c>
    </row>
    <row r="15" spans="1:16">
      <c r="A15" t="s">
        <v>427</v>
      </c>
      <c r="B15" s="3"/>
      <c r="E15" s="3"/>
      <c r="K15" s="3"/>
      <c r="L15" s="6" t="str">
        <f t="shared" si="0"/>
        <v/>
      </c>
    </row>
    <row r="16" spans="1:16">
      <c r="A16" t="s">
        <v>428</v>
      </c>
      <c r="B16" s="3"/>
      <c r="E16" s="3"/>
      <c r="K16" s="3"/>
      <c r="L16" s="6" t="str">
        <f t="shared" si="0"/>
        <v/>
      </c>
    </row>
    <row r="17" spans="1:12">
      <c r="A17" t="s">
        <v>429</v>
      </c>
      <c r="B17" s="3"/>
      <c r="E17" s="3"/>
      <c r="K17" s="3"/>
      <c r="L17" s="6" t="str">
        <f t="shared" si="0"/>
        <v/>
      </c>
    </row>
    <row r="18" spans="1:12">
      <c r="A18" t="s">
        <v>430</v>
      </c>
      <c r="B18" s="3"/>
      <c r="E18" s="3"/>
      <c r="K18" s="3"/>
      <c r="L18" s="6" t="str">
        <f t="shared" si="0"/>
        <v/>
      </c>
    </row>
    <row r="19" spans="1:12">
      <c r="A19" t="s">
        <v>431</v>
      </c>
      <c r="B19" s="3"/>
      <c r="E19" s="3"/>
      <c r="K19" s="3"/>
      <c r="L19" s="6" t="str">
        <f t="shared" si="0"/>
        <v/>
      </c>
    </row>
    <row r="20" spans="1:12">
      <c r="A20" t="s">
        <v>432</v>
      </c>
      <c r="B20" s="3"/>
      <c r="E20" s="3"/>
      <c r="K20" s="3"/>
      <c r="L20" s="6" t="str">
        <f t="shared" si="0"/>
        <v/>
      </c>
    </row>
    <row r="21" spans="1:12">
      <c r="A21" t="s">
        <v>433</v>
      </c>
      <c r="B21" s="3"/>
      <c r="E21" s="3"/>
      <c r="K21" s="3"/>
      <c r="L21" s="6" t="str">
        <f t="shared" si="0"/>
        <v/>
      </c>
    </row>
    <row r="22" spans="1:12">
      <c r="A22" t="s">
        <v>434</v>
      </c>
      <c r="B22" s="3"/>
      <c r="E22" s="3"/>
      <c r="K22" s="3"/>
      <c r="L22" s="6" t="str">
        <f t="shared" si="0"/>
        <v/>
      </c>
    </row>
    <row r="23" spans="1:12">
      <c r="A23" t="s">
        <v>435</v>
      </c>
      <c r="B23" s="3"/>
      <c r="E23" s="3"/>
      <c r="K23" s="3"/>
      <c r="L23" s="6" t="str">
        <f t="shared" si="0"/>
        <v/>
      </c>
    </row>
    <row r="24" spans="1:12">
      <c r="A24" t="s">
        <v>436</v>
      </c>
      <c r="B24" s="3"/>
      <c r="E24" s="3"/>
      <c r="K24" s="3"/>
      <c r="L24" s="6" t="str">
        <f t="shared" si="0"/>
        <v/>
      </c>
    </row>
    <row r="25" spans="1:12">
      <c r="A25" t="s">
        <v>437</v>
      </c>
      <c r="B25" s="3"/>
      <c r="E25" s="3"/>
      <c r="K25" s="3"/>
      <c r="L25" s="6" t="str">
        <f t="shared" si="0"/>
        <v/>
      </c>
    </row>
    <row r="26" spans="1:12">
      <c r="A26" t="s">
        <v>438</v>
      </c>
      <c r="B26" s="3"/>
      <c r="E26" s="3"/>
      <c r="K26" s="3"/>
      <c r="L26" s="6" t="str">
        <f t="shared" si="0"/>
        <v/>
      </c>
    </row>
    <row r="27" spans="1:12">
      <c r="A27" t="s">
        <v>439</v>
      </c>
      <c r="B27" s="3"/>
      <c r="E27" s="3"/>
      <c r="K27" s="3"/>
      <c r="L27" s="6" t="str">
        <f t="shared" si="0"/>
        <v/>
      </c>
    </row>
    <row r="28" spans="1:12">
      <c r="A28" t="s">
        <v>440</v>
      </c>
      <c r="B28" s="3"/>
      <c r="E28" s="3"/>
      <c r="K28" s="3"/>
      <c r="L28" s="6" t="str">
        <f t="shared" si="0"/>
        <v/>
      </c>
    </row>
    <row r="29" spans="1:12">
      <c r="A29" t="s">
        <v>441</v>
      </c>
      <c r="B29" s="3"/>
      <c r="E29" s="3"/>
      <c r="K29" s="3"/>
      <c r="L29" s="6" t="str">
        <f t="shared" si="0"/>
        <v/>
      </c>
    </row>
    <row r="30" spans="1:12">
      <c r="A30" t="s">
        <v>442</v>
      </c>
      <c r="B30" s="3"/>
      <c r="E30" s="3"/>
      <c r="K30" s="3"/>
      <c r="L30" s="6" t="str">
        <f t="shared" si="0"/>
        <v/>
      </c>
    </row>
    <row r="31" spans="1:12">
      <c r="A31" t="s">
        <v>443</v>
      </c>
      <c r="B31" s="3"/>
      <c r="E31" s="3"/>
      <c r="K31" s="3"/>
      <c r="L31" s="6" t="str">
        <f t="shared" si="0"/>
        <v/>
      </c>
    </row>
    <row r="32" spans="1:12">
      <c r="A32" t="s">
        <v>444</v>
      </c>
      <c r="B32" s="3"/>
      <c r="E32" s="3"/>
      <c r="K32" s="3"/>
      <c r="L32" s="6" t="str">
        <f t="shared" si="0"/>
        <v/>
      </c>
    </row>
    <row r="33" spans="1:12">
      <c r="A33" t="s">
        <v>445</v>
      </c>
      <c r="B33" s="3"/>
      <c r="E33" s="3"/>
      <c r="K33" s="3"/>
      <c r="L33" s="6" t="str">
        <f t="shared" si="0"/>
        <v/>
      </c>
    </row>
    <row r="34" spans="1:12">
      <c r="A34" t="s">
        <v>446</v>
      </c>
      <c r="B34" s="3"/>
      <c r="E34" s="3"/>
      <c r="K34" s="3"/>
      <c r="L34" s="6" t="str">
        <f t="shared" si="0"/>
        <v/>
      </c>
    </row>
    <row r="35" spans="1:12">
      <c r="A35" t="s">
        <v>447</v>
      </c>
      <c r="B35" s="3"/>
      <c r="E35" s="3"/>
      <c r="K35" s="3"/>
      <c r="L35" s="6" t="str">
        <f t="shared" si="0"/>
        <v/>
      </c>
    </row>
    <row r="36" spans="1:12">
      <c r="A36" t="s">
        <v>448</v>
      </c>
      <c r="B36" s="3"/>
      <c r="E36" s="3"/>
      <c r="K36" s="3"/>
      <c r="L36" s="6" t="str">
        <f t="shared" si="0"/>
        <v/>
      </c>
    </row>
    <row r="37" spans="1:12">
      <c r="A37" t="s">
        <v>449</v>
      </c>
      <c r="B37" s="3"/>
      <c r="E37" s="3"/>
      <c r="K37" s="3"/>
      <c r="L37" s="6" t="str">
        <f t="shared" ref="L37:L68" si="1">IF(K37="","",K37-B37)</f>
        <v/>
      </c>
    </row>
    <row r="38" spans="1:12">
      <c r="A38" t="s">
        <v>450</v>
      </c>
      <c r="B38" s="3"/>
      <c r="E38" s="3"/>
      <c r="K38" s="3"/>
      <c r="L38" s="6" t="str">
        <f t="shared" si="1"/>
        <v/>
      </c>
    </row>
    <row r="39" spans="1:12">
      <c r="A39" t="s">
        <v>451</v>
      </c>
      <c r="B39" s="3"/>
      <c r="E39" s="3"/>
      <c r="K39" s="3"/>
      <c r="L39" s="6" t="str">
        <f t="shared" si="1"/>
        <v/>
      </c>
    </row>
    <row r="40" spans="1:12">
      <c r="A40" t="s">
        <v>452</v>
      </c>
      <c r="B40" s="3"/>
      <c r="E40" s="3"/>
      <c r="K40" s="3"/>
      <c r="L40" s="6" t="str">
        <f t="shared" si="1"/>
        <v/>
      </c>
    </row>
    <row r="41" spans="1:12">
      <c r="A41" t="s">
        <v>453</v>
      </c>
      <c r="B41" s="3"/>
      <c r="E41" s="3"/>
      <c r="K41" s="3"/>
      <c r="L41" s="6" t="str">
        <f t="shared" si="1"/>
        <v/>
      </c>
    </row>
    <row r="42" spans="1:12">
      <c r="A42" t="s">
        <v>454</v>
      </c>
      <c r="B42" s="3"/>
      <c r="E42" s="3"/>
      <c r="K42" s="3"/>
      <c r="L42" s="6" t="str">
        <f t="shared" si="1"/>
        <v/>
      </c>
    </row>
    <row r="43" spans="1:12">
      <c r="A43" t="s">
        <v>455</v>
      </c>
      <c r="B43" s="3"/>
      <c r="E43" s="3"/>
      <c r="K43" s="3"/>
      <c r="L43" s="6" t="str">
        <f t="shared" si="1"/>
        <v/>
      </c>
    </row>
    <row r="44" spans="1:12">
      <c r="A44" t="s">
        <v>456</v>
      </c>
      <c r="B44" s="3"/>
      <c r="E44" s="3"/>
      <c r="K44" s="3"/>
      <c r="L44" s="6" t="str">
        <f t="shared" si="1"/>
        <v/>
      </c>
    </row>
    <row r="45" spans="1:12">
      <c r="A45" t="s">
        <v>457</v>
      </c>
      <c r="B45" s="3"/>
      <c r="E45" s="3"/>
      <c r="K45" s="3"/>
      <c r="L45" s="6" t="str">
        <f t="shared" si="1"/>
        <v/>
      </c>
    </row>
    <row r="46" spans="1:12">
      <c r="A46" t="s">
        <v>458</v>
      </c>
      <c r="B46" s="3"/>
      <c r="E46" s="3"/>
      <c r="K46" s="3"/>
      <c r="L46" s="6" t="str">
        <f t="shared" si="1"/>
        <v/>
      </c>
    </row>
    <row r="47" spans="1:12">
      <c r="A47" t="s">
        <v>459</v>
      </c>
      <c r="B47" s="3"/>
      <c r="E47" s="3"/>
      <c r="K47" s="3"/>
      <c r="L47" s="6" t="str">
        <f t="shared" si="1"/>
        <v/>
      </c>
    </row>
    <row r="48" spans="1:12">
      <c r="A48" t="s">
        <v>460</v>
      </c>
      <c r="B48" s="3"/>
      <c r="E48" s="3"/>
      <c r="K48" s="3"/>
      <c r="L48" s="6" t="str">
        <f t="shared" si="1"/>
        <v/>
      </c>
    </row>
    <row r="49" spans="1:12">
      <c r="A49" t="s">
        <v>461</v>
      </c>
      <c r="B49" s="3"/>
      <c r="E49" s="3"/>
      <c r="K49" s="3"/>
      <c r="L49" s="6" t="str">
        <f t="shared" si="1"/>
        <v/>
      </c>
    </row>
    <row r="50" spans="1:12">
      <c r="A50" t="s">
        <v>462</v>
      </c>
      <c r="B50" s="3"/>
      <c r="E50" s="3"/>
      <c r="K50" s="3"/>
      <c r="L50" s="6" t="str">
        <f t="shared" si="1"/>
        <v/>
      </c>
    </row>
    <row r="51" spans="1:12">
      <c r="A51" t="s">
        <v>463</v>
      </c>
      <c r="B51" s="3"/>
      <c r="E51" s="3"/>
      <c r="K51" s="3"/>
      <c r="L51" s="6" t="str">
        <f t="shared" si="1"/>
        <v/>
      </c>
    </row>
    <row r="52" spans="1:12">
      <c r="A52" t="s">
        <v>464</v>
      </c>
      <c r="B52" s="3"/>
      <c r="E52" s="3"/>
      <c r="K52" s="3"/>
      <c r="L52" s="6" t="str">
        <f t="shared" si="1"/>
        <v/>
      </c>
    </row>
    <row r="53" spans="1:12">
      <c r="A53" t="s">
        <v>465</v>
      </c>
      <c r="B53" s="3"/>
      <c r="E53" s="3"/>
      <c r="K53" s="3"/>
      <c r="L53" s="6" t="str">
        <f t="shared" si="1"/>
        <v/>
      </c>
    </row>
    <row r="54" spans="1:12">
      <c r="A54" t="s">
        <v>466</v>
      </c>
      <c r="B54" s="3"/>
      <c r="E54" s="3"/>
      <c r="K54" s="3"/>
      <c r="L54" s="6" t="str">
        <f t="shared" si="1"/>
        <v/>
      </c>
    </row>
    <row r="55" spans="1:12">
      <c r="A55" t="s">
        <v>467</v>
      </c>
      <c r="B55" s="3"/>
      <c r="E55" s="3"/>
      <c r="K55" s="3"/>
      <c r="L55" s="6" t="str">
        <f t="shared" si="1"/>
        <v/>
      </c>
    </row>
    <row r="56" spans="1:12">
      <c r="A56" t="s">
        <v>468</v>
      </c>
      <c r="B56" s="3"/>
      <c r="E56" s="3"/>
      <c r="K56" s="3"/>
      <c r="L56" s="6" t="str">
        <f t="shared" si="1"/>
        <v/>
      </c>
    </row>
    <row r="57" spans="1:12">
      <c r="A57" t="s">
        <v>469</v>
      </c>
      <c r="B57" s="3"/>
      <c r="E57" s="3"/>
      <c r="K57" s="3"/>
      <c r="L57" s="6" t="str">
        <f t="shared" si="1"/>
        <v/>
      </c>
    </row>
    <row r="58" spans="1:12">
      <c r="A58" t="s">
        <v>470</v>
      </c>
      <c r="B58" s="3"/>
      <c r="E58" s="3"/>
      <c r="K58" s="3"/>
      <c r="L58" s="6" t="str">
        <f t="shared" si="1"/>
        <v/>
      </c>
    </row>
    <row r="59" spans="1:12">
      <c r="A59" t="s">
        <v>471</v>
      </c>
      <c r="B59" s="3"/>
      <c r="E59" s="3"/>
      <c r="K59" s="3"/>
      <c r="L59" s="6" t="str">
        <f t="shared" si="1"/>
        <v/>
      </c>
    </row>
    <row r="60" spans="1:12">
      <c r="A60" t="s">
        <v>472</v>
      </c>
      <c r="B60" s="3"/>
      <c r="E60" s="3"/>
      <c r="K60" s="3"/>
      <c r="L60" s="6" t="str">
        <f t="shared" si="1"/>
        <v/>
      </c>
    </row>
    <row r="61" spans="1:12">
      <c r="A61" t="s">
        <v>473</v>
      </c>
      <c r="B61" s="3"/>
      <c r="E61" s="3"/>
      <c r="K61" s="3"/>
      <c r="L61" s="6" t="str">
        <f t="shared" si="1"/>
        <v/>
      </c>
    </row>
    <row r="62" spans="1:12">
      <c r="A62" t="s">
        <v>474</v>
      </c>
      <c r="B62" s="3"/>
      <c r="E62" s="3"/>
      <c r="K62" s="3"/>
      <c r="L62" s="6" t="str">
        <f t="shared" si="1"/>
        <v/>
      </c>
    </row>
    <row r="63" spans="1:12">
      <c r="A63" t="s">
        <v>475</v>
      </c>
      <c r="B63" s="3"/>
      <c r="E63" s="3"/>
      <c r="K63" s="3"/>
      <c r="L63" s="6" t="str">
        <f t="shared" si="1"/>
        <v/>
      </c>
    </row>
    <row r="64" spans="1:12">
      <c r="A64" t="s">
        <v>476</v>
      </c>
      <c r="B64" s="3"/>
      <c r="E64" s="3"/>
      <c r="K64" s="3"/>
      <c r="L64" s="6" t="str">
        <f t="shared" si="1"/>
        <v/>
      </c>
    </row>
    <row r="65" spans="1:12">
      <c r="A65" t="s">
        <v>477</v>
      </c>
      <c r="B65" s="3"/>
      <c r="E65" s="3"/>
      <c r="K65" s="3"/>
      <c r="L65" s="6" t="str">
        <f t="shared" si="1"/>
        <v/>
      </c>
    </row>
    <row r="66" spans="1:12">
      <c r="A66" t="s">
        <v>478</v>
      </c>
      <c r="B66" s="3"/>
      <c r="E66" s="3"/>
      <c r="K66" s="3"/>
      <c r="L66" s="6" t="str">
        <f t="shared" si="1"/>
        <v/>
      </c>
    </row>
    <row r="67" spans="1:12">
      <c r="A67" t="s">
        <v>479</v>
      </c>
      <c r="B67" s="3"/>
      <c r="E67" s="3"/>
      <c r="K67" s="3"/>
      <c r="L67" s="6" t="str">
        <f t="shared" si="1"/>
        <v/>
      </c>
    </row>
    <row r="68" spans="1:12">
      <c r="A68" t="s">
        <v>480</v>
      </c>
      <c r="B68" s="3"/>
      <c r="E68" s="3"/>
      <c r="K68" s="3"/>
      <c r="L68" s="6" t="str">
        <f t="shared" si="1"/>
        <v/>
      </c>
    </row>
    <row r="69" spans="1:12">
      <c r="A69" t="s">
        <v>481</v>
      </c>
      <c r="B69" s="3"/>
      <c r="E69" s="3"/>
      <c r="K69" s="3"/>
      <c r="L69" s="6" t="str">
        <f t="shared" ref="L69:L100" si="2">IF(K69="","",K69-B69)</f>
        <v/>
      </c>
    </row>
    <row r="70" spans="1:12">
      <c r="A70" t="s">
        <v>482</v>
      </c>
      <c r="B70" s="3"/>
      <c r="E70" s="3"/>
      <c r="K70" s="3"/>
      <c r="L70" s="6" t="str">
        <f t="shared" si="2"/>
        <v/>
      </c>
    </row>
    <row r="71" spans="1:12">
      <c r="A71" t="s">
        <v>483</v>
      </c>
      <c r="B71" s="3"/>
      <c r="E71" s="3"/>
      <c r="K71" s="3"/>
      <c r="L71" s="6" t="str">
        <f t="shared" si="2"/>
        <v/>
      </c>
    </row>
    <row r="72" spans="1:12">
      <c r="A72" t="s">
        <v>484</v>
      </c>
      <c r="B72" s="3"/>
      <c r="E72" s="3"/>
      <c r="K72" s="3"/>
      <c r="L72" s="6" t="str">
        <f t="shared" si="2"/>
        <v/>
      </c>
    </row>
    <row r="73" spans="1:12">
      <c r="A73" t="s">
        <v>485</v>
      </c>
      <c r="B73" s="3"/>
      <c r="E73" s="3"/>
      <c r="K73" s="3"/>
      <c r="L73" s="6" t="str">
        <f t="shared" si="2"/>
        <v/>
      </c>
    </row>
    <row r="74" spans="1:12">
      <c r="A74" t="s">
        <v>486</v>
      </c>
      <c r="B74" s="3"/>
      <c r="E74" s="3"/>
      <c r="K74" s="3"/>
      <c r="L74" s="6" t="str">
        <f t="shared" si="2"/>
        <v/>
      </c>
    </row>
    <row r="75" spans="1:12">
      <c r="A75" t="s">
        <v>487</v>
      </c>
      <c r="B75" s="3"/>
      <c r="E75" s="3"/>
      <c r="K75" s="3"/>
      <c r="L75" s="6" t="str">
        <f t="shared" si="2"/>
        <v/>
      </c>
    </row>
    <row r="76" spans="1:12">
      <c r="A76" t="s">
        <v>488</v>
      </c>
      <c r="B76" s="3"/>
      <c r="E76" s="3"/>
      <c r="K76" s="3"/>
      <c r="L76" s="6" t="str">
        <f t="shared" si="2"/>
        <v/>
      </c>
    </row>
    <row r="77" spans="1:12">
      <c r="A77" t="s">
        <v>489</v>
      </c>
      <c r="B77" s="3"/>
      <c r="E77" s="3"/>
      <c r="K77" s="3"/>
      <c r="L77" s="6" t="str">
        <f t="shared" si="2"/>
        <v/>
      </c>
    </row>
    <row r="78" spans="1:12">
      <c r="A78" t="s">
        <v>490</v>
      </c>
      <c r="B78" s="3"/>
      <c r="E78" s="3"/>
      <c r="K78" s="3"/>
      <c r="L78" s="6" t="str">
        <f t="shared" si="2"/>
        <v/>
      </c>
    </row>
    <row r="79" spans="1:12">
      <c r="A79" t="s">
        <v>491</v>
      </c>
      <c r="B79" s="3"/>
      <c r="E79" s="3"/>
      <c r="K79" s="3"/>
      <c r="L79" s="6" t="str">
        <f t="shared" si="2"/>
        <v/>
      </c>
    </row>
    <row r="80" spans="1:12">
      <c r="A80" t="s">
        <v>492</v>
      </c>
      <c r="B80" s="3"/>
      <c r="E80" s="3"/>
      <c r="K80" s="3"/>
      <c r="L80" s="6" t="str">
        <f t="shared" si="2"/>
        <v/>
      </c>
    </row>
    <row r="81" spans="1:12">
      <c r="A81" t="s">
        <v>493</v>
      </c>
      <c r="B81" s="3"/>
      <c r="E81" s="3"/>
      <c r="K81" s="3"/>
      <c r="L81" s="6" t="str">
        <f t="shared" si="2"/>
        <v/>
      </c>
    </row>
    <row r="82" spans="1:12">
      <c r="A82" t="s">
        <v>494</v>
      </c>
      <c r="B82" s="3"/>
      <c r="E82" s="3"/>
      <c r="K82" s="3"/>
      <c r="L82" s="6" t="str">
        <f t="shared" si="2"/>
        <v/>
      </c>
    </row>
    <row r="83" spans="1:12">
      <c r="A83" t="s">
        <v>495</v>
      </c>
      <c r="B83" s="3"/>
      <c r="E83" s="3"/>
      <c r="K83" s="3"/>
      <c r="L83" s="6" t="str">
        <f t="shared" si="2"/>
        <v/>
      </c>
    </row>
    <row r="84" spans="1:12">
      <c r="A84" t="s">
        <v>496</v>
      </c>
      <c r="B84" s="3"/>
      <c r="E84" s="3"/>
      <c r="K84" s="3"/>
      <c r="L84" s="6" t="str">
        <f t="shared" si="2"/>
        <v/>
      </c>
    </row>
    <row r="85" spans="1:12">
      <c r="A85" t="s">
        <v>497</v>
      </c>
      <c r="B85" s="3"/>
      <c r="E85" s="3"/>
      <c r="K85" s="3"/>
      <c r="L85" s="6" t="str">
        <f t="shared" si="2"/>
        <v/>
      </c>
    </row>
    <row r="86" spans="1:12">
      <c r="A86" t="s">
        <v>498</v>
      </c>
      <c r="B86" s="3"/>
      <c r="E86" s="3"/>
      <c r="K86" s="3"/>
      <c r="L86" s="6" t="str">
        <f t="shared" si="2"/>
        <v/>
      </c>
    </row>
    <row r="87" spans="1:12">
      <c r="A87" t="s">
        <v>499</v>
      </c>
      <c r="B87" s="3"/>
      <c r="E87" s="3"/>
      <c r="K87" s="3"/>
      <c r="L87" s="6" t="str">
        <f t="shared" si="2"/>
        <v/>
      </c>
    </row>
    <row r="88" spans="1:12">
      <c r="A88" t="s">
        <v>500</v>
      </c>
      <c r="B88" s="3"/>
      <c r="E88" s="3"/>
      <c r="K88" s="3"/>
      <c r="L88" s="6" t="str">
        <f t="shared" si="2"/>
        <v/>
      </c>
    </row>
    <row r="89" spans="1:12">
      <c r="A89" t="s">
        <v>501</v>
      </c>
      <c r="B89" s="3"/>
      <c r="E89" s="3"/>
      <c r="K89" s="3"/>
      <c r="L89" s="6" t="str">
        <f t="shared" si="2"/>
        <v/>
      </c>
    </row>
    <row r="90" spans="1:12">
      <c r="A90" t="s">
        <v>502</v>
      </c>
      <c r="B90" s="3"/>
      <c r="E90" s="3"/>
      <c r="K90" s="3"/>
      <c r="L90" s="6" t="str">
        <f t="shared" si="2"/>
        <v/>
      </c>
    </row>
    <row r="91" spans="1:12">
      <c r="A91" t="s">
        <v>503</v>
      </c>
      <c r="B91" s="3"/>
      <c r="E91" s="3"/>
      <c r="K91" s="3"/>
      <c r="L91" s="6" t="str">
        <f t="shared" si="2"/>
        <v/>
      </c>
    </row>
    <row r="92" spans="1:12">
      <c r="A92" t="s">
        <v>504</v>
      </c>
      <c r="B92" s="3"/>
      <c r="E92" s="3"/>
      <c r="K92" s="3"/>
      <c r="L92" s="6" t="str">
        <f t="shared" si="2"/>
        <v/>
      </c>
    </row>
    <row r="93" spans="1:12">
      <c r="A93" t="s">
        <v>505</v>
      </c>
      <c r="B93" s="3"/>
      <c r="E93" s="3"/>
      <c r="K93" s="3"/>
      <c r="L93" s="6" t="str">
        <f t="shared" si="2"/>
        <v/>
      </c>
    </row>
    <row r="94" spans="1:12">
      <c r="A94" t="s">
        <v>506</v>
      </c>
      <c r="B94" s="3"/>
      <c r="E94" s="3"/>
      <c r="K94" s="3"/>
      <c r="L94" s="6" t="str">
        <f t="shared" si="2"/>
        <v/>
      </c>
    </row>
    <row r="95" spans="1:12">
      <c r="A95" t="s">
        <v>507</v>
      </c>
      <c r="B95" s="3"/>
      <c r="E95" s="3"/>
      <c r="K95" s="3"/>
      <c r="L95" s="6" t="str">
        <f t="shared" si="2"/>
        <v/>
      </c>
    </row>
    <row r="96" spans="1:12">
      <c r="A96" t="s">
        <v>508</v>
      </c>
      <c r="B96" s="3"/>
      <c r="E96" s="3"/>
      <c r="K96" s="3"/>
      <c r="L96" s="6" t="str">
        <f t="shared" si="2"/>
        <v/>
      </c>
    </row>
    <row r="97" spans="1:12">
      <c r="A97" t="s">
        <v>509</v>
      </c>
      <c r="B97" s="3"/>
      <c r="E97" s="3"/>
      <c r="K97" s="3"/>
      <c r="L97" s="6" t="str">
        <f t="shared" si="2"/>
        <v/>
      </c>
    </row>
    <row r="98" spans="1:12">
      <c r="A98" t="s">
        <v>510</v>
      </c>
      <c r="B98" s="3"/>
      <c r="E98" s="3"/>
      <c r="K98" s="3"/>
      <c r="L98" s="6" t="str">
        <f t="shared" si="2"/>
        <v/>
      </c>
    </row>
    <row r="99" spans="1:12">
      <c r="A99" t="s">
        <v>511</v>
      </c>
      <c r="B99" s="3"/>
      <c r="E99" s="3"/>
      <c r="K99" s="3"/>
      <c r="L99" s="6" t="str">
        <f t="shared" si="2"/>
        <v/>
      </c>
    </row>
    <row r="100" spans="1:12">
      <c r="A100" t="s">
        <v>512</v>
      </c>
      <c r="B100" s="3"/>
      <c r="E100" s="3"/>
      <c r="K100" s="3"/>
      <c r="L100" s="6" t="str">
        <f t="shared" si="2"/>
        <v/>
      </c>
    </row>
    <row r="101" spans="1:12">
      <c r="A101" t="s">
        <v>513</v>
      </c>
      <c r="B101" s="3"/>
      <c r="E101" s="3"/>
      <c r="K101" s="3"/>
      <c r="L101" s="6" t="str">
        <f t="shared" ref="L101:L104" si="3">IF(K101="","",K101-B101)</f>
        <v/>
      </c>
    </row>
    <row r="102" spans="1:12">
      <c r="A102" t="s">
        <v>514</v>
      </c>
      <c r="B102" s="3"/>
      <c r="E102" s="3"/>
      <c r="K102" s="3"/>
      <c r="L102" s="6" t="str">
        <f t="shared" si="3"/>
        <v/>
      </c>
    </row>
    <row r="103" spans="1:12">
      <c r="A103" t="s">
        <v>515</v>
      </c>
      <c r="B103" s="3"/>
      <c r="E103" s="3"/>
      <c r="K103" s="3"/>
      <c r="L103" s="6" t="str">
        <f t="shared" si="3"/>
        <v/>
      </c>
    </row>
    <row r="104" spans="1:12">
      <c r="A104" t="s">
        <v>516</v>
      </c>
      <c r="B104" s="3"/>
      <c r="E104" s="3"/>
      <c r="K104" s="3"/>
      <c r="L104" s="6" t="str">
        <f t="shared" si="3"/>
        <v/>
      </c>
    </row>
  </sheetData>
  <mergeCells count="2">
    <mergeCell ref="A1:P1"/>
    <mergeCell ref="A2:P2"/>
  </mergeCells>
  <conditionalFormatting sqref="L5:L104">
    <cfRule type="cellIs" dxfId="5" priority="1" operator="greaterThan">
      <formula>3</formula>
    </cfRule>
  </conditionalFormatting>
  <conditionalFormatting sqref="M5:M104">
    <cfRule type="expression" dxfId="4" priority="2">
      <formula>M5="Clôturée"</formula>
    </cfRule>
  </conditionalFormatting>
  <dataValidations count="1">
    <dataValidation type="list" sqref="M5:M104" xr:uid="{00000000-0002-0000-0400-000000000000}">
      <formula1>"Ouverte,En analyse,Réponse envoyée,Clôturée"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04"/>
  <sheetViews>
    <sheetView workbookViewId="0">
      <selection sqref="A1:Q1"/>
    </sheetView>
  </sheetViews>
  <sheetFormatPr baseColWidth="10" defaultColWidth="9" defaultRowHeight="14.25"/>
  <cols>
    <col min="1" max="1" width="16" customWidth="1"/>
    <col min="2" max="2" width="14" customWidth="1"/>
    <col min="3" max="3" width="18" customWidth="1"/>
    <col min="4" max="4" width="16" customWidth="1"/>
    <col min="5" max="5" width="24" customWidth="1"/>
    <col min="6" max="6" width="28" customWidth="1"/>
    <col min="7" max="7" width="16" customWidth="1"/>
    <col min="8" max="8" width="22" customWidth="1"/>
    <col min="9" max="11" width="18" customWidth="1"/>
    <col min="12" max="13" width="16" customWidth="1"/>
    <col min="14" max="14" width="18" customWidth="1"/>
    <col min="15" max="16" width="16" customWidth="1"/>
    <col min="17" max="17" width="26" customWidth="1"/>
  </cols>
  <sheetData>
    <row r="1" spans="1:17" ht="27.95" customHeight="1">
      <c r="A1" s="13" t="s">
        <v>517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4" spans="1:17" ht="32.1" customHeight="1">
      <c r="A4" s="1" t="s">
        <v>518</v>
      </c>
      <c r="B4" s="1" t="s">
        <v>519</v>
      </c>
      <c r="C4" s="1" t="s">
        <v>520</v>
      </c>
      <c r="D4" s="1" t="s">
        <v>55</v>
      </c>
      <c r="E4" s="1" t="s">
        <v>521</v>
      </c>
      <c r="F4" s="1" t="s">
        <v>522</v>
      </c>
      <c r="G4" s="1" t="s">
        <v>69</v>
      </c>
      <c r="H4" s="1" t="s">
        <v>523</v>
      </c>
      <c r="I4" s="1" t="s">
        <v>524</v>
      </c>
      <c r="J4" s="1" t="s">
        <v>525</v>
      </c>
      <c r="K4" s="1" t="s">
        <v>526</v>
      </c>
      <c r="L4" s="1" t="s">
        <v>527</v>
      </c>
      <c r="M4" s="1" t="s">
        <v>528</v>
      </c>
      <c r="N4" s="1" t="s">
        <v>416</v>
      </c>
      <c r="O4" s="1" t="s">
        <v>529</v>
      </c>
      <c r="P4" s="1" t="s">
        <v>530</v>
      </c>
      <c r="Q4" s="1" t="s">
        <v>72</v>
      </c>
    </row>
    <row r="5" spans="1:17">
      <c r="A5" t="s">
        <v>531</v>
      </c>
      <c r="B5" s="3"/>
      <c r="I5" s="5"/>
      <c r="J5" s="5"/>
      <c r="K5" s="5" t="str">
        <f t="shared" ref="K5:K36" si="0">IF(AND(I5="",J5=""),"",I5-J5)</f>
        <v/>
      </c>
      <c r="P5" s="3"/>
    </row>
    <row r="6" spans="1:17">
      <c r="A6" t="s">
        <v>532</v>
      </c>
      <c r="B6" s="3"/>
      <c r="I6" s="5"/>
      <c r="J6" s="5"/>
      <c r="K6" s="5" t="str">
        <f t="shared" si="0"/>
        <v/>
      </c>
      <c r="P6" s="3"/>
    </row>
    <row r="7" spans="1:17">
      <c r="A7" t="s">
        <v>533</v>
      </c>
      <c r="B7" s="3"/>
      <c r="I7" s="5"/>
      <c r="J7" s="5"/>
      <c r="K7" s="5" t="str">
        <f t="shared" si="0"/>
        <v/>
      </c>
      <c r="P7" s="3"/>
    </row>
    <row r="8" spans="1:17">
      <c r="A8" t="s">
        <v>534</v>
      </c>
      <c r="B8" s="3"/>
      <c r="I8" s="5"/>
      <c r="J8" s="5"/>
      <c r="K8" s="5" t="str">
        <f t="shared" si="0"/>
        <v/>
      </c>
      <c r="P8" s="3"/>
    </row>
    <row r="9" spans="1:17">
      <c r="A9" t="s">
        <v>535</v>
      </c>
      <c r="B9" s="3"/>
      <c r="I9" s="5"/>
      <c r="J9" s="5"/>
      <c r="K9" s="5" t="str">
        <f t="shared" si="0"/>
        <v/>
      </c>
      <c r="P9" s="3"/>
    </row>
    <row r="10" spans="1:17">
      <c r="A10" t="s">
        <v>536</v>
      </c>
      <c r="B10" s="3"/>
      <c r="I10" s="5"/>
      <c r="J10" s="5"/>
      <c r="K10" s="5" t="str">
        <f t="shared" si="0"/>
        <v/>
      </c>
      <c r="P10" s="3"/>
    </row>
    <row r="11" spans="1:17">
      <c r="A11" t="s">
        <v>537</v>
      </c>
      <c r="B11" s="3"/>
      <c r="I11" s="5"/>
      <c r="J11" s="5"/>
      <c r="K11" s="5" t="str">
        <f t="shared" si="0"/>
        <v/>
      </c>
      <c r="P11" s="3"/>
    </row>
    <row r="12" spans="1:17">
      <c r="A12" t="s">
        <v>538</v>
      </c>
      <c r="B12" s="3"/>
      <c r="I12" s="5"/>
      <c r="J12" s="5"/>
      <c r="K12" s="5" t="str">
        <f t="shared" si="0"/>
        <v/>
      </c>
      <c r="P12" s="3"/>
    </row>
    <row r="13" spans="1:17">
      <c r="A13" t="s">
        <v>539</v>
      </c>
      <c r="B13" s="3"/>
      <c r="I13" s="5"/>
      <c r="J13" s="5"/>
      <c r="K13" s="5" t="str">
        <f t="shared" si="0"/>
        <v/>
      </c>
      <c r="P13" s="3"/>
    </row>
    <row r="14" spans="1:17">
      <c r="A14" t="s">
        <v>540</v>
      </c>
      <c r="B14" s="3"/>
      <c r="I14" s="5"/>
      <c r="J14" s="5"/>
      <c r="K14" s="5" t="str">
        <f t="shared" si="0"/>
        <v/>
      </c>
      <c r="P14" s="3"/>
    </row>
    <row r="15" spans="1:17">
      <c r="A15" t="s">
        <v>541</v>
      </c>
      <c r="B15" s="3"/>
      <c r="I15" s="5"/>
      <c r="J15" s="5"/>
      <c r="K15" s="5" t="str">
        <f t="shared" si="0"/>
        <v/>
      </c>
      <c r="P15" s="3"/>
    </row>
    <row r="16" spans="1:17">
      <c r="A16" t="s">
        <v>542</v>
      </c>
      <c r="B16" s="3"/>
      <c r="I16" s="5"/>
      <c r="J16" s="5"/>
      <c r="K16" s="5" t="str">
        <f t="shared" si="0"/>
        <v/>
      </c>
      <c r="P16" s="3"/>
    </row>
    <row r="17" spans="1:16">
      <c r="A17" t="s">
        <v>543</v>
      </c>
      <c r="B17" s="3"/>
      <c r="I17" s="5"/>
      <c r="J17" s="5"/>
      <c r="K17" s="5" t="str">
        <f t="shared" si="0"/>
        <v/>
      </c>
      <c r="P17" s="3"/>
    </row>
    <row r="18" spans="1:16">
      <c r="A18" t="s">
        <v>544</v>
      </c>
      <c r="B18" s="3"/>
      <c r="I18" s="5"/>
      <c r="J18" s="5"/>
      <c r="K18" s="5" t="str">
        <f t="shared" si="0"/>
        <v/>
      </c>
      <c r="P18" s="3"/>
    </row>
    <row r="19" spans="1:16">
      <c r="A19" t="s">
        <v>545</v>
      </c>
      <c r="B19" s="3"/>
      <c r="I19" s="5"/>
      <c r="J19" s="5"/>
      <c r="K19" s="5" t="str">
        <f t="shared" si="0"/>
        <v/>
      </c>
      <c r="P19" s="3"/>
    </row>
    <row r="20" spans="1:16">
      <c r="A20" t="s">
        <v>546</v>
      </c>
      <c r="B20" s="3"/>
      <c r="I20" s="5"/>
      <c r="J20" s="5"/>
      <c r="K20" s="5" t="str">
        <f t="shared" si="0"/>
        <v/>
      </c>
      <c r="P20" s="3"/>
    </row>
    <row r="21" spans="1:16">
      <c r="A21" t="s">
        <v>547</v>
      </c>
      <c r="B21" s="3"/>
      <c r="I21" s="5"/>
      <c r="J21" s="5"/>
      <c r="K21" s="5" t="str">
        <f t="shared" si="0"/>
        <v/>
      </c>
      <c r="P21" s="3"/>
    </row>
    <row r="22" spans="1:16">
      <c r="A22" t="s">
        <v>548</v>
      </c>
      <c r="B22" s="3"/>
      <c r="I22" s="5"/>
      <c r="J22" s="5"/>
      <c r="K22" s="5" t="str">
        <f t="shared" si="0"/>
        <v/>
      </c>
      <c r="P22" s="3"/>
    </row>
    <row r="23" spans="1:16">
      <c r="A23" t="s">
        <v>549</v>
      </c>
      <c r="B23" s="3"/>
      <c r="I23" s="5"/>
      <c r="J23" s="5"/>
      <c r="K23" s="5" t="str">
        <f t="shared" si="0"/>
        <v/>
      </c>
      <c r="P23" s="3"/>
    </row>
    <row r="24" spans="1:16">
      <c r="A24" t="s">
        <v>550</v>
      </c>
      <c r="B24" s="3"/>
      <c r="I24" s="5"/>
      <c r="J24" s="5"/>
      <c r="K24" s="5" t="str">
        <f t="shared" si="0"/>
        <v/>
      </c>
      <c r="P24" s="3"/>
    </row>
    <row r="25" spans="1:16">
      <c r="A25" t="s">
        <v>551</v>
      </c>
      <c r="B25" s="3"/>
      <c r="I25" s="5"/>
      <c r="J25" s="5"/>
      <c r="K25" s="5" t="str">
        <f t="shared" si="0"/>
        <v/>
      </c>
      <c r="P25" s="3"/>
    </row>
    <row r="26" spans="1:16">
      <c r="A26" t="s">
        <v>552</v>
      </c>
      <c r="B26" s="3"/>
      <c r="I26" s="5"/>
      <c r="J26" s="5"/>
      <c r="K26" s="5" t="str">
        <f t="shared" si="0"/>
        <v/>
      </c>
      <c r="P26" s="3"/>
    </row>
    <row r="27" spans="1:16">
      <c r="A27" t="s">
        <v>553</v>
      </c>
      <c r="B27" s="3"/>
      <c r="I27" s="5"/>
      <c r="J27" s="5"/>
      <c r="K27" s="5" t="str">
        <f t="shared" si="0"/>
        <v/>
      </c>
      <c r="P27" s="3"/>
    </row>
    <row r="28" spans="1:16">
      <c r="A28" t="s">
        <v>554</v>
      </c>
      <c r="B28" s="3"/>
      <c r="I28" s="5"/>
      <c r="J28" s="5"/>
      <c r="K28" s="5" t="str">
        <f t="shared" si="0"/>
        <v/>
      </c>
      <c r="P28" s="3"/>
    </row>
    <row r="29" spans="1:16">
      <c r="A29" t="s">
        <v>555</v>
      </c>
      <c r="B29" s="3"/>
      <c r="I29" s="5"/>
      <c r="J29" s="5"/>
      <c r="K29" s="5" t="str">
        <f t="shared" si="0"/>
        <v/>
      </c>
      <c r="P29" s="3"/>
    </row>
    <row r="30" spans="1:16">
      <c r="A30" t="s">
        <v>556</v>
      </c>
      <c r="B30" s="3"/>
      <c r="I30" s="5"/>
      <c r="J30" s="5"/>
      <c r="K30" s="5" t="str">
        <f t="shared" si="0"/>
        <v/>
      </c>
      <c r="P30" s="3"/>
    </row>
    <row r="31" spans="1:16">
      <c r="A31" t="s">
        <v>557</v>
      </c>
      <c r="B31" s="3"/>
      <c r="I31" s="5"/>
      <c r="J31" s="5"/>
      <c r="K31" s="5" t="str">
        <f t="shared" si="0"/>
        <v/>
      </c>
      <c r="P31" s="3"/>
    </row>
    <row r="32" spans="1:16">
      <c r="A32" t="s">
        <v>558</v>
      </c>
      <c r="B32" s="3"/>
      <c r="I32" s="5"/>
      <c r="J32" s="5"/>
      <c r="K32" s="5" t="str">
        <f t="shared" si="0"/>
        <v/>
      </c>
      <c r="P32" s="3"/>
    </row>
    <row r="33" spans="1:16">
      <c r="A33" t="s">
        <v>559</v>
      </c>
      <c r="B33" s="3"/>
      <c r="I33" s="5"/>
      <c r="J33" s="5"/>
      <c r="K33" s="5" t="str">
        <f t="shared" si="0"/>
        <v/>
      </c>
      <c r="P33" s="3"/>
    </row>
    <row r="34" spans="1:16">
      <c r="A34" t="s">
        <v>560</v>
      </c>
      <c r="B34" s="3"/>
      <c r="I34" s="5"/>
      <c r="J34" s="5"/>
      <c r="K34" s="5" t="str">
        <f t="shared" si="0"/>
        <v/>
      </c>
      <c r="P34" s="3"/>
    </row>
    <row r="35" spans="1:16">
      <c r="A35" t="s">
        <v>561</v>
      </c>
      <c r="B35" s="3"/>
      <c r="I35" s="5"/>
      <c r="J35" s="5"/>
      <c r="K35" s="5" t="str">
        <f t="shared" si="0"/>
        <v/>
      </c>
      <c r="P35" s="3"/>
    </row>
    <row r="36" spans="1:16">
      <c r="A36" t="s">
        <v>562</v>
      </c>
      <c r="B36" s="3"/>
      <c r="I36" s="5"/>
      <c r="J36" s="5"/>
      <c r="K36" s="5" t="str">
        <f t="shared" si="0"/>
        <v/>
      </c>
      <c r="P36" s="3"/>
    </row>
    <row r="37" spans="1:16">
      <c r="A37" t="s">
        <v>563</v>
      </c>
      <c r="B37" s="3"/>
      <c r="I37" s="5"/>
      <c r="J37" s="5"/>
      <c r="K37" s="5" t="str">
        <f t="shared" ref="K37:K68" si="1">IF(AND(I37="",J37=""),"",I37-J37)</f>
        <v/>
      </c>
      <c r="P37" s="3"/>
    </row>
    <row r="38" spans="1:16">
      <c r="A38" t="s">
        <v>564</v>
      </c>
      <c r="B38" s="3"/>
      <c r="I38" s="5"/>
      <c r="J38" s="5"/>
      <c r="K38" s="5" t="str">
        <f t="shared" si="1"/>
        <v/>
      </c>
      <c r="P38" s="3"/>
    </row>
    <row r="39" spans="1:16">
      <c r="A39" t="s">
        <v>565</v>
      </c>
      <c r="B39" s="3"/>
      <c r="I39" s="5"/>
      <c r="J39" s="5"/>
      <c r="K39" s="5" t="str">
        <f t="shared" si="1"/>
        <v/>
      </c>
      <c r="P39" s="3"/>
    </row>
    <row r="40" spans="1:16">
      <c r="A40" t="s">
        <v>566</v>
      </c>
      <c r="B40" s="3"/>
      <c r="I40" s="5"/>
      <c r="J40" s="5"/>
      <c r="K40" s="5" t="str">
        <f t="shared" si="1"/>
        <v/>
      </c>
      <c r="P40" s="3"/>
    </row>
    <row r="41" spans="1:16">
      <c r="A41" t="s">
        <v>567</v>
      </c>
      <c r="B41" s="3"/>
      <c r="I41" s="5"/>
      <c r="J41" s="5"/>
      <c r="K41" s="5" t="str">
        <f t="shared" si="1"/>
        <v/>
      </c>
      <c r="P41" s="3"/>
    </row>
    <row r="42" spans="1:16">
      <c r="A42" t="s">
        <v>568</v>
      </c>
      <c r="B42" s="3"/>
      <c r="I42" s="5"/>
      <c r="J42" s="5"/>
      <c r="K42" s="5" t="str">
        <f t="shared" si="1"/>
        <v/>
      </c>
      <c r="P42" s="3"/>
    </row>
    <row r="43" spans="1:16">
      <c r="A43" t="s">
        <v>569</v>
      </c>
      <c r="B43" s="3"/>
      <c r="I43" s="5"/>
      <c r="J43" s="5"/>
      <c r="K43" s="5" t="str">
        <f t="shared" si="1"/>
        <v/>
      </c>
      <c r="P43" s="3"/>
    </row>
    <row r="44" spans="1:16">
      <c r="A44" t="s">
        <v>570</v>
      </c>
      <c r="B44" s="3"/>
      <c r="I44" s="5"/>
      <c r="J44" s="5"/>
      <c r="K44" s="5" t="str">
        <f t="shared" si="1"/>
        <v/>
      </c>
      <c r="P44" s="3"/>
    </row>
    <row r="45" spans="1:16">
      <c r="A45" t="s">
        <v>571</v>
      </c>
      <c r="B45" s="3"/>
      <c r="I45" s="5"/>
      <c r="J45" s="5"/>
      <c r="K45" s="5" t="str">
        <f t="shared" si="1"/>
        <v/>
      </c>
      <c r="P45" s="3"/>
    </row>
    <row r="46" spans="1:16">
      <c r="A46" t="s">
        <v>572</v>
      </c>
      <c r="B46" s="3"/>
      <c r="I46" s="5"/>
      <c r="J46" s="5"/>
      <c r="K46" s="5" t="str">
        <f t="shared" si="1"/>
        <v/>
      </c>
      <c r="P46" s="3"/>
    </row>
    <row r="47" spans="1:16">
      <c r="A47" t="s">
        <v>573</v>
      </c>
      <c r="B47" s="3"/>
      <c r="I47" s="5"/>
      <c r="J47" s="5"/>
      <c r="K47" s="5" t="str">
        <f t="shared" si="1"/>
        <v/>
      </c>
      <c r="P47" s="3"/>
    </row>
    <row r="48" spans="1:16">
      <c r="A48" t="s">
        <v>574</v>
      </c>
      <c r="B48" s="3"/>
      <c r="I48" s="5"/>
      <c r="J48" s="5"/>
      <c r="K48" s="5" t="str">
        <f t="shared" si="1"/>
        <v/>
      </c>
      <c r="P48" s="3"/>
    </row>
    <row r="49" spans="1:16">
      <c r="A49" t="s">
        <v>575</v>
      </c>
      <c r="B49" s="3"/>
      <c r="I49" s="5"/>
      <c r="J49" s="5"/>
      <c r="K49" s="5" t="str">
        <f t="shared" si="1"/>
        <v/>
      </c>
      <c r="P49" s="3"/>
    </row>
    <row r="50" spans="1:16">
      <c r="A50" t="s">
        <v>576</v>
      </c>
      <c r="B50" s="3"/>
      <c r="I50" s="5"/>
      <c r="J50" s="5"/>
      <c r="K50" s="5" t="str">
        <f t="shared" si="1"/>
        <v/>
      </c>
      <c r="P50" s="3"/>
    </row>
    <row r="51" spans="1:16">
      <c r="A51" t="s">
        <v>577</v>
      </c>
      <c r="B51" s="3"/>
      <c r="I51" s="5"/>
      <c r="J51" s="5"/>
      <c r="K51" s="5" t="str">
        <f t="shared" si="1"/>
        <v/>
      </c>
      <c r="P51" s="3"/>
    </row>
    <row r="52" spans="1:16">
      <c r="A52" t="s">
        <v>578</v>
      </c>
      <c r="B52" s="3"/>
      <c r="I52" s="5"/>
      <c r="J52" s="5"/>
      <c r="K52" s="5" t="str">
        <f t="shared" si="1"/>
        <v/>
      </c>
      <c r="P52" s="3"/>
    </row>
    <row r="53" spans="1:16">
      <c r="A53" t="s">
        <v>579</v>
      </c>
      <c r="B53" s="3"/>
      <c r="I53" s="5"/>
      <c r="J53" s="5"/>
      <c r="K53" s="5" t="str">
        <f t="shared" si="1"/>
        <v/>
      </c>
      <c r="P53" s="3"/>
    </row>
    <row r="54" spans="1:16">
      <c r="A54" t="s">
        <v>580</v>
      </c>
      <c r="B54" s="3"/>
      <c r="I54" s="5"/>
      <c r="J54" s="5"/>
      <c r="K54" s="5" t="str">
        <f t="shared" si="1"/>
        <v/>
      </c>
      <c r="P54" s="3"/>
    </row>
    <row r="55" spans="1:16">
      <c r="A55" t="s">
        <v>581</v>
      </c>
      <c r="B55" s="3"/>
      <c r="I55" s="5"/>
      <c r="J55" s="5"/>
      <c r="K55" s="5" t="str">
        <f t="shared" si="1"/>
        <v/>
      </c>
      <c r="P55" s="3"/>
    </row>
    <row r="56" spans="1:16">
      <c r="A56" t="s">
        <v>582</v>
      </c>
      <c r="B56" s="3"/>
      <c r="I56" s="5"/>
      <c r="J56" s="5"/>
      <c r="K56" s="5" t="str">
        <f t="shared" si="1"/>
        <v/>
      </c>
      <c r="P56" s="3"/>
    </row>
    <row r="57" spans="1:16">
      <c r="A57" t="s">
        <v>583</v>
      </c>
      <c r="B57" s="3"/>
      <c r="I57" s="5"/>
      <c r="J57" s="5"/>
      <c r="K57" s="5" t="str">
        <f t="shared" si="1"/>
        <v/>
      </c>
      <c r="P57" s="3"/>
    </row>
    <row r="58" spans="1:16">
      <c r="A58" t="s">
        <v>584</v>
      </c>
      <c r="B58" s="3"/>
      <c r="I58" s="5"/>
      <c r="J58" s="5"/>
      <c r="K58" s="5" t="str">
        <f t="shared" si="1"/>
        <v/>
      </c>
      <c r="P58" s="3"/>
    </row>
    <row r="59" spans="1:16">
      <c r="A59" t="s">
        <v>585</v>
      </c>
      <c r="B59" s="3"/>
      <c r="I59" s="5"/>
      <c r="J59" s="5"/>
      <c r="K59" s="5" t="str">
        <f t="shared" si="1"/>
        <v/>
      </c>
      <c r="P59" s="3"/>
    </row>
    <row r="60" spans="1:16">
      <c r="A60" t="s">
        <v>586</v>
      </c>
      <c r="B60" s="3"/>
      <c r="I60" s="5"/>
      <c r="J60" s="5"/>
      <c r="K60" s="5" t="str">
        <f t="shared" si="1"/>
        <v/>
      </c>
      <c r="P60" s="3"/>
    </row>
    <row r="61" spans="1:16">
      <c r="A61" t="s">
        <v>587</v>
      </c>
      <c r="B61" s="3"/>
      <c r="I61" s="5"/>
      <c r="J61" s="5"/>
      <c r="K61" s="5" t="str">
        <f t="shared" si="1"/>
        <v/>
      </c>
      <c r="P61" s="3"/>
    </row>
    <row r="62" spans="1:16">
      <c r="A62" t="s">
        <v>588</v>
      </c>
      <c r="B62" s="3"/>
      <c r="I62" s="5"/>
      <c r="J62" s="5"/>
      <c r="K62" s="5" t="str">
        <f t="shared" si="1"/>
        <v/>
      </c>
      <c r="P62" s="3"/>
    </row>
    <row r="63" spans="1:16">
      <c r="A63" t="s">
        <v>589</v>
      </c>
      <c r="B63" s="3"/>
      <c r="I63" s="5"/>
      <c r="J63" s="5"/>
      <c r="K63" s="5" t="str">
        <f t="shared" si="1"/>
        <v/>
      </c>
      <c r="P63" s="3"/>
    </row>
    <row r="64" spans="1:16">
      <c r="A64" t="s">
        <v>590</v>
      </c>
      <c r="B64" s="3"/>
      <c r="I64" s="5"/>
      <c r="J64" s="5"/>
      <c r="K64" s="5" t="str">
        <f t="shared" si="1"/>
        <v/>
      </c>
      <c r="P64" s="3"/>
    </row>
    <row r="65" spans="1:16">
      <c r="A65" t="s">
        <v>591</v>
      </c>
      <c r="B65" s="3"/>
      <c r="I65" s="5"/>
      <c r="J65" s="5"/>
      <c r="K65" s="5" t="str">
        <f t="shared" si="1"/>
        <v/>
      </c>
      <c r="P65" s="3"/>
    </row>
    <row r="66" spans="1:16">
      <c r="A66" t="s">
        <v>592</v>
      </c>
      <c r="B66" s="3"/>
      <c r="I66" s="5"/>
      <c r="J66" s="5"/>
      <c r="K66" s="5" t="str">
        <f t="shared" si="1"/>
        <v/>
      </c>
      <c r="P66" s="3"/>
    </row>
    <row r="67" spans="1:16">
      <c r="A67" t="s">
        <v>593</v>
      </c>
      <c r="B67" s="3"/>
      <c r="I67" s="5"/>
      <c r="J67" s="5"/>
      <c r="K67" s="5" t="str">
        <f t="shared" si="1"/>
        <v/>
      </c>
      <c r="P67" s="3"/>
    </row>
    <row r="68" spans="1:16">
      <c r="A68" t="s">
        <v>594</v>
      </c>
      <c r="B68" s="3"/>
      <c r="I68" s="5"/>
      <c r="J68" s="5"/>
      <c r="K68" s="5" t="str">
        <f t="shared" si="1"/>
        <v/>
      </c>
      <c r="P68" s="3"/>
    </row>
    <row r="69" spans="1:16">
      <c r="A69" t="s">
        <v>595</v>
      </c>
      <c r="B69" s="3"/>
      <c r="I69" s="5"/>
      <c r="J69" s="5"/>
      <c r="K69" s="5" t="str">
        <f t="shared" ref="K69:K100" si="2">IF(AND(I69="",J69=""),"",I69-J69)</f>
        <v/>
      </c>
      <c r="P69" s="3"/>
    </row>
    <row r="70" spans="1:16">
      <c r="A70" t="s">
        <v>596</v>
      </c>
      <c r="B70" s="3"/>
      <c r="I70" s="5"/>
      <c r="J70" s="5"/>
      <c r="K70" s="5" t="str">
        <f t="shared" si="2"/>
        <v/>
      </c>
      <c r="P70" s="3"/>
    </row>
    <row r="71" spans="1:16">
      <c r="A71" t="s">
        <v>597</v>
      </c>
      <c r="B71" s="3"/>
      <c r="I71" s="5"/>
      <c r="J71" s="5"/>
      <c r="K71" s="5" t="str">
        <f t="shared" si="2"/>
        <v/>
      </c>
      <c r="P71" s="3"/>
    </row>
    <row r="72" spans="1:16">
      <c r="A72" t="s">
        <v>598</v>
      </c>
      <c r="B72" s="3"/>
      <c r="I72" s="5"/>
      <c r="J72" s="5"/>
      <c r="K72" s="5" t="str">
        <f t="shared" si="2"/>
        <v/>
      </c>
      <c r="P72" s="3"/>
    </row>
    <row r="73" spans="1:16">
      <c r="A73" t="s">
        <v>599</v>
      </c>
      <c r="B73" s="3"/>
      <c r="I73" s="5"/>
      <c r="J73" s="5"/>
      <c r="K73" s="5" t="str">
        <f t="shared" si="2"/>
        <v/>
      </c>
      <c r="P73" s="3"/>
    </row>
    <row r="74" spans="1:16">
      <c r="A74" t="s">
        <v>600</v>
      </c>
      <c r="B74" s="3"/>
      <c r="I74" s="5"/>
      <c r="J74" s="5"/>
      <c r="K74" s="5" t="str">
        <f t="shared" si="2"/>
        <v/>
      </c>
      <c r="P74" s="3"/>
    </row>
    <row r="75" spans="1:16">
      <c r="A75" t="s">
        <v>601</v>
      </c>
      <c r="B75" s="3"/>
      <c r="I75" s="5"/>
      <c r="J75" s="5"/>
      <c r="K75" s="5" t="str">
        <f t="shared" si="2"/>
        <v/>
      </c>
      <c r="P75" s="3"/>
    </row>
    <row r="76" spans="1:16">
      <c r="A76" t="s">
        <v>602</v>
      </c>
      <c r="B76" s="3"/>
      <c r="I76" s="5"/>
      <c r="J76" s="5"/>
      <c r="K76" s="5" t="str">
        <f t="shared" si="2"/>
        <v/>
      </c>
      <c r="P76" s="3"/>
    </row>
    <row r="77" spans="1:16">
      <c r="A77" t="s">
        <v>603</v>
      </c>
      <c r="B77" s="3"/>
      <c r="I77" s="5"/>
      <c r="J77" s="5"/>
      <c r="K77" s="5" t="str">
        <f t="shared" si="2"/>
        <v/>
      </c>
      <c r="P77" s="3"/>
    </row>
    <row r="78" spans="1:16">
      <c r="A78" t="s">
        <v>604</v>
      </c>
      <c r="B78" s="3"/>
      <c r="I78" s="5"/>
      <c r="J78" s="5"/>
      <c r="K78" s="5" t="str">
        <f t="shared" si="2"/>
        <v/>
      </c>
      <c r="P78" s="3"/>
    </row>
    <row r="79" spans="1:16">
      <c r="A79" t="s">
        <v>605</v>
      </c>
      <c r="B79" s="3"/>
      <c r="I79" s="5"/>
      <c r="J79" s="5"/>
      <c r="K79" s="5" t="str">
        <f t="shared" si="2"/>
        <v/>
      </c>
      <c r="P79" s="3"/>
    </row>
    <row r="80" spans="1:16">
      <c r="A80" t="s">
        <v>606</v>
      </c>
      <c r="B80" s="3"/>
      <c r="I80" s="5"/>
      <c r="J80" s="5"/>
      <c r="K80" s="5" t="str">
        <f t="shared" si="2"/>
        <v/>
      </c>
      <c r="P80" s="3"/>
    </row>
    <row r="81" spans="1:16">
      <c r="A81" t="s">
        <v>607</v>
      </c>
      <c r="B81" s="3"/>
      <c r="I81" s="5"/>
      <c r="J81" s="5"/>
      <c r="K81" s="5" t="str">
        <f t="shared" si="2"/>
        <v/>
      </c>
      <c r="P81" s="3"/>
    </row>
    <row r="82" spans="1:16">
      <c r="A82" t="s">
        <v>608</v>
      </c>
      <c r="B82" s="3"/>
      <c r="I82" s="5"/>
      <c r="J82" s="5"/>
      <c r="K82" s="5" t="str">
        <f t="shared" si="2"/>
        <v/>
      </c>
      <c r="P82" s="3"/>
    </row>
    <row r="83" spans="1:16">
      <c r="A83" t="s">
        <v>609</v>
      </c>
      <c r="B83" s="3"/>
      <c r="I83" s="5"/>
      <c r="J83" s="5"/>
      <c r="K83" s="5" t="str">
        <f t="shared" si="2"/>
        <v/>
      </c>
      <c r="P83" s="3"/>
    </row>
    <row r="84" spans="1:16">
      <c r="A84" t="s">
        <v>610</v>
      </c>
      <c r="B84" s="3"/>
      <c r="I84" s="5"/>
      <c r="J84" s="5"/>
      <c r="K84" s="5" t="str">
        <f t="shared" si="2"/>
        <v/>
      </c>
      <c r="P84" s="3"/>
    </row>
    <row r="85" spans="1:16">
      <c r="A85" t="s">
        <v>611</v>
      </c>
      <c r="B85" s="3"/>
      <c r="I85" s="5"/>
      <c r="J85" s="5"/>
      <c r="K85" s="5" t="str">
        <f t="shared" si="2"/>
        <v/>
      </c>
      <c r="P85" s="3"/>
    </row>
    <row r="86" spans="1:16">
      <c r="A86" t="s">
        <v>612</v>
      </c>
      <c r="B86" s="3"/>
      <c r="I86" s="5"/>
      <c r="J86" s="5"/>
      <c r="K86" s="5" t="str">
        <f t="shared" si="2"/>
        <v/>
      </c>
      <c r="P86" s="3"/>
    </row>
    <row r="87" spans="1:16">
      <c r="A87" t="s">
        <v>613</v>
      </c>
      <c r="B87" s="3"/>
      <c r="I87" s="5"/>
      <c r="J87" s="5"/>
      <c r="K87" s="5" t="str">
        <f t="shared" si="2"/>
        <v/>
      </c>
      <c r="P87" s="3"/>
    </row>
    <row r="88" spans="1:16">
      <c r="A88" t="s">
        <v>614</v>
      </c>
      <c r="B88" s="3"/>
      <c r="I88" s="5"/>
      <c r="J88" s="5"/>
      <c r="K88" s="5" t="str">
        <f t="shared" si="2"/>
        <v/>
      </c>
      <c r="P88" s="3"/>
    </row>
    <row r="89" spans="1:16">
      <c r="A89" t="s">
        <v>615</v>
      </c>
      <c r="B89" s="3"/>
      <c r="I89" s="5"/>
      <c r="J89" s="5"/>
      <c r="K89" s="5" t="str">
        <f t="shared" si="2"/>
        <v/>
      </c>
      <c r="P89" s="3"/>
    </row>
    <row r="90" spans="1:16">
      <c r="A90" t="s">
        <v>616</v>
      </c>
      <c r="B90" s="3"/>
      <c r="I90" s="5"/>
      <c r="J90" s="5"/>
      <c r="K90" s="5" t="str">
        <f t="shared" si="2"/>
        <v/>
      </c>
      <c r="P90" s="3"/>
    </row>
    <row r="91" spans="1:16">
      <c r="A91" t="s">
        <v>617</v>
      </c>
      <c r="B91" s="3"/>
      <c r="I91" s="5"/>
      <c r="J91" s="5"/>
      <c r="K91" s="5" t="str">
        <f t="shared" si="2"/>
        <v/>
      </c>
      <c r="P91" s="3"/>
    </row>
    <row r="92" spans="1:16">
      <c r="A92" t="s">
        <v>618</v>
      </c>
      <c r="B92" s="3"/>
      <c r="I92" s="5"/>
      <c r="J92" s="5"/>
      <c r="K92" s="5" t="str">
        <f t="shared" si="2"/>
        <v/>
      </c>
      <c r="P92" s="3"/>
    </row>
    <row r="93" spans="1:16">
      <c r="A93" t="s">
        <v>619</v>
      </c>
      <c r="B93" s="3"/>
      <c r="I93" s="5"/>
      <c r="J93" s="5"/>
      <c r="K93" s="5" t="str">
        <f t="shared" si="2"/>
        <v/>
      </c>
      <c r="P93" s="3"/>
    </row>
    <row r="94" spans="1:16">
      <c r="A94" t="s">
        <v>620</v>
      </c>
      <c r="B94" s="3"/>
      <c r="I94" s="5"/>
      <c r="J94" s="5"/>
      <c r="K94" s="5" t="str">
        <f t="shared" si="2"/>
        <v/>
      </c>
      <c r="P94" s="3"/>
    </row>
    <row r="95" spans="1:16">
      <c r="A95" t="s">
        <v>621</v>
      </c>
      <c r="B95" s="3"/>
      <c r="I95" s="5"/>
      <c r="J95" s="5"/>
      <c r="K95" s="5" t="str">
        <f t="shared" si="2"/>
        <v/>
      </c>
      <c r="P95" s="3"/>
    </row>
    <row r="96" spans="1:16">
      <c r="A96" t="s">
        <v>622</v>
      </c>
      <c r="B96" s="3"/>
      <c r="I96" s="5"/>
      <c r="J96" s="5"/>
      <c r="K96" s="5" t="str">
        <f t="shared" si="2"/>
        <v/>
      </c>
      <c r="P96" s="3"/>
    </row>
    <row r="97" spans="1:16">
      <c r="A97" t="s">
        <v>623</v>
      </c>
      <c r="B97" s="3"/>
      <c r="I97" s="5"/>
      <c r="J97" s="5"/>
      <c r="K97" s="5" t="str">
        <f t="shared" si="2"/>
        <v/>
      </c>
      <c r="P97" s="3"/>
    </row>
    <row r="98" spans="1:16">
      <c r="A98" t="s">
        <v>624</v>
      </c>
      <c r="B98" s="3"/>
      <c r="I98" s="5"/>
      <c r="J98" s="5"/>
      <c r="K98" s="5" t="str">
        <f t="shared" si="2"/>
        <v/>
      </c>
      <c r="P98" s="3"/>
    </row>
    <row r="99" spans="1:16">
      <c r="A99" t="s">
        <v>625</v>
      </c>
      <c r="B99" s="3"/>
      <c r="I99" s="5"/>
      <c r="J99" s="5"/>
      <c r="K99" s="5" t="str">
        <f t="shared" si="2"/>
        <v/>
      </c>
      <c r="P99" s="3"/>
    </row>
    <row r="100" spans="1:16">
      <c r="A100" t="s">
        <v>626</v>
      </c>
      <c r="B100" s="3"/>
      <c r="I100" s="5"/>
      <c r="J100" s="5"/>
      <c r="K100" s="5" t="str">
        <f t="shared" si="2"/>
        <v/>
      </c>
      <c r="P100" s="3"/>
    </row>
    <row r="101" spans="1:16">
      <c r="A101" t="s">
        <v>627</v>
      </c>
      <c r="B101" s="3"/>
      <c r="I101" s="5"/>
      <c r="J101" s="5"/>
      <c r="K101" s="5" t="str">
        <f t="shared" ref="K101:K132" si="3">IF(AND(I101="",J101=""),"",I101-J101)</f>
        <v/>
      </c>
      <c r="P101" s="3"/>
    </row>
    <row r="102" spans="1:16">
      <c r="A102" t="s">
        <v>628</v>
      </c>
      <c r="B102" s="3"/>
      <c r="I102" s="5"/>
      <c r="J102" s="5"/>
      <c r="K102" s="5" t="str">
        <f t="shared" si="3"/>
        <v/>
      </c>
      <c r="P102" s="3"/>
    </row>
    <row r="103" spans="1:16">
      <c r="A103" t="s">
        <v>629</v>
      </c>
      <c r="B103" s="3"/>
      <c r="I103" s="5"/>
      <c r="J103" s="5"/>
      <c r="K103" s="5" t="str">
        <f t="shared" si="3"/>
        <v/>
      </c>
      <c r="P103" s="3"/>
    </row>
    <row r="104" spans="1:16">
      <c r="A104" t="s">
        <v>630</v>
      </c>
      <c r="B104" s="3"/>
      <c r="I104" s="5"/>
      <c r="J104" s="5"/>
      <c r="K104" s="5" t="str">
        <f t="shared" si="3"/>
        <v/>
      </c>
      <c r="P104" s="3"/>
    </row>
    <row r="105" spans="1:16">
      <c r="A105" t="s">
        <v>631</v>
      </c>
      <c r="B105" s="3"/>
      <c r="I105" s="5"/>
      <c r="J105" s="5"/>
      <c r="K105" s="5" t="str">
        <f t="shared" si="3"/>
        <v/>
      </c>
      <c r="P105" s="3"/>
    </row>
    <row r="106" spans="1:16">
      <c r="A106" t="s">
        <v>632</v>
      </c>
      <c r="B106" s="3"/>
      <c r="I106" s="5"/>
      <c r="J106" s="5"/>
      <c r="K106" s="5" t="str">
        <f t="shared" si="3"/>
        <v/>
      </c>
      <c r="P106" s="3"/>
    </row>
    <row r="107" spans="1:16">
      <c r="A107" t="s">
        <v>633</v>
      </c>
      <c r="B107" s="3"/>
      <c r="I107" s="5"/>
      <c r="J107" s="5"/>
      <c r="K107" s="5" t="str">
        <f t="shared" si="3"/>
        <v/>
      </c>
      <c r="P107" s="3"/>
    </row>
    <row r="108" spans="1:16">
      <c r="A108" t="s">
        <v>634</v>
      </c>
      <c r="B108" s="3"/>
      <c r="I108" s="5"/>
      <c r="J108" s="5"/>
      <c r="K108" s="5" t="str">
        <f t="shared" si="3"/>
        <v/>
      </c>
      <c r="P108" s="3"/>
    </row>
    <row r="109" spans="1:16">
      <c r="A109" t="s">
        <v>635</v>
      </c>
      <c r="B109" s="3"/>
      <c r="I109" s="5"/>
      <c r="J109" s="5"/>
      <c r="K109" s="5" t="str">
        <f t="shared" si="3"/>
        <v/>
      </c>
      <c r="P109" s="3"/>
    </row>
    <row r="110" spans="1:16">
      <c r="A110" t="s">
        <v>636</v>
      </c>
      <c r="B110" s="3"/>
      <c r="I110" s="5"/>
      <c r="J110" s="5"/>
      <c r="K110" s="5" t="str">
        <f t="shared" si="3"/>
        <v/>
      </c>
      <c r="P110" s="3"/>
    </row>
    <row r="111" spans="1:16">
      <c r="A111" t="s">
        <v>637</v>
      </c>
      <c r="B111" s="3"/>
      <c r="I111" s="5"/>
      <c r="J111" s="5"/>
      <c r="K111" s="5" t="str">
        <f t="shared" si="3"/>
        <v/>
      </c>
      <c r="P111" s="3"/>
    </row>
    <row r="112" spans="1:16">
      <c r="A112" t="s">
        <v>638</v>
      </c>
      <c r="B112" s="3"/>
      <c r="I112" s="5"/>
      <c r="J112" s="5"/>
      <c r="K112" s="5" t="str">
        <f t="shared" si="3"/>
        <v/>
      </c>
      <c r="P112" s="3"/>
    </row>
    <row r="113" spans="1:16">
      <c r="A113" t="s">
        <v>639</v>
      </c>
      <c r="B113" s="3"/>
      <c r="I113" s="5"/>
      <c r="J113" s="5"/>
      <c r="K113" s="5" t="str">
        <f t="shared" si="3"/>
        <v/>
      </c>
      <c r="P113" s="3"/>
    </row>
    <row r="114" spans="1:16">
      <c r="A114" t="s">
        <v>640</v>
      </c>
      <c r="B114" s="3"/>
      <c r="I114" s="5"/>
      <c r="J114" s="5"/>
      <c r="K114" s="5" t="str">
        <f t="shared" si="3"/>
        <v/>
      </c>
      <c r="P114" s="3"/>
    </row>
    <row r="115" spans="1:16">
      <c r="A115" t="s">
        <v>641</v>
      </c>
      <c r="B115" s="3"/>
      <c r="I115" s="5"/>
      <c r="J115" s="5"/>
      <c r="K115" s="5" t="str">
        <f t="shared" si="3"/>
        <v/>
      </c>
      <c r="P115" s="3"/>
    </row>
    <row r="116" spans="1:16">
      <c r="A116" t="s">
        <v>642</v>
      </c>
      <c r="B116" s="3"/>
      <c r="I116" s="5"/>
      <c r="J116" s="5"/>
      <c r="K116" s="5" t="str">
        <f t="shared" si="3"/>
        <v/>
      </c>
      <c r="P116" s="3"/>
    </row>
    <row r="117" spans="1:16">
      <c r="A117" t="s">
        <v>643</v>
      </c>
      <c r="B117" s="3"/>
      <c r="I117" s="5"/>
      <c r="J117" s="5"/>
      <c r="K117" s="5" t="str">
        <f t="shared" si="3"/>
        <v/>
      </c>
      <c r="P117" s="3"/>
    </row>
    <row r="118" spans="1:16">
      <c r="A118" t="s">
        <v>644</v>
      </c>
      <c r="B118" s="3"/>
      <c r="I118" s="5"/>
      <c r="J118" s="5"/>
      <c r="K118" s="5" t="str">
        <f t="shared" si="3"/>
        <v/>
      </c>
      <c r="P118" s="3"/>
    </row>
    <row r="119" spans="1:16">
      <c r="A119" t="s">
        <v>645</v>
      </c>
      <c r="B119" s="3"/>
      <c r="I119" s="5"/>
      <c r="J119" s="5"/>
      <c r="K119" s="5" t="str">
        <f t="shared" si="3"/>
        <v/>
      </c>
      <c r="P119" s="3"/>
    </row>
    <row r="120" spans="1:16">
      <c r="A120" t="s">
        <v>646</v>
      </c>
      <c r="B120" s="3"/>
      <c r="I120" s="5"/>
      <c r="J120" s="5"/>
      <c r="K120" s="5" t="str">
        <f t="shared" si="3"/>
        <v/>
      </c>
      <c r="P120" s="3"/>
    </row>
    <row r="121" spans="1:16">
      <c r="A121" t="s">
        <v>647</v>
      </c>
      <c r="B121" s="3"/>
      <c r="I121" s="5"/>
      <c r="J121" s="5"/>
      <c r="K121" s="5" t="str">
        <f t="shared" si="3"/>
        <v/>
      </c>
      <c r="P121" s="3"/>
    </row>
    <row r="122" spans="1:16">
      <c r="A122" t="s">
        <v>648</v>
      </c>
      <c r="B122" s="3"/>
      <c r="I122" s="5"/>
      <c r="J122" s="5"/>
      <c r="K122" s="5" t="str">
        <f t="shared" si="3"/>
        <v/>
      </c>
      <c r="P122" s="3"/>
    </row>
    <row r="123" spans="1:16">
      <c r="A123" t="s">
        <v>649</v>
      </c>
      <c r="B123" s="3"/>
      <c r="I123" s="5"/>
      <c r="J123" s="5"/>
      <c r="K123" s="5" t="str">
        <f t="shared" si="3"/>
        <v/>
      </c>
      <c r="P123" s="3"/>
    </row>
    <row r="124" spans="1:16">
      <c r="A124" t="s">
        <v>650</v>
      </c>
      <c r="B124" s="3"/>
      <c r="I124" s="5"/>
      <c r="J124" s="5"/>
      <c r="K124" s="5" t="str">
        <f t="shared" si="3"/>
        <v/>
      </c>
      <c r="P124" s="3"/>
    </row>
    <row r="125" spans="1:16">
      <c r="A125" t="s">
        <v>651</v>
      </c>
      <c r="B125" s="3"/>
      <c r="I125" s="5"/>
      <c r="J125" s="5"/>
      <c r="K125" s="5" t="str">
        <f t="shared" si="3"/>
        <v/>
      </c>
      <c r="P125" s="3"/>
    </row>
    <row r="126" spans="1:16">
      <c r="A126" t="s">
        <v>652</v>
      </c>
      <c r="B126" s="3"/>
      <c r="I126" s="5"/>
      <c r="J126" s="5"/>
      <c r="K126" s="5" t="str">
        <f t="shared" si="3"/>
        <v/>
      </c>
      <c r="P126" s="3"/>
    </row>
    <row r="127" spans="1:16">
      <c r="A127" t="s">
        <v>653</v>
      </c>
      <c r="B127" s="3"/>
      <c r="I127" s="5"/>
      <c r="J127" s="5"/>
      <c r="K127" s="5" t="str">
        <f t="shared" si="3"/>
        <v/>
      </c>
      <c r="P127" s="3"/>
    </row>
    <row r="128" spans="1:16">
      <c r="A128" t="s">
        <v>654</v>
      </c>
      <c r="B128" s="3"/>
      <c r="I128" s="5"/>
      <c r="J128" s="5"/>
      <c r="K128" s="5" t="str">
        <f t="shared" si="3"/>
        <v/>
      </c>
      <c r="P128" s="3"/>
    </row>
    <row r="129" spans="1:16">
      <c r="A129" t="s">
        <v>655</v>
      </c>
      <c r="B129" s="3"/>
      <c r="I129" s="5"/>
      <c r="J129" s="5"/>
      <c r="K129" s="5" t="str">
        <f t="shared" si="3"/>
        <v/>
      </c>
      <c r="P129" s="3"/>
    </row>
    <row r="130" spans="1:16">
      <c r="A130" t="s">
        <v>656</v>
      </c>
      <c r="B130" s="3"/>
      <c r="I130" s="5"/>
      <c r="J130" s="5"/>
      <c r="K130" s="5" t="str">
        <f t="shared" si="3"/>
        <v/>
      </c>
      <c r="P130" s="3"/>
    </row>
    <row r="131" spans="1:16">
      <c r="A131" t="s">
        <v>657</v>
      </c>
      <c r="B131" s="3"/>
      <c r="I131" s="5"/>
      <c r="J131" s="5"/>
      <c r="K131" s="5" t="str">
        <f t="shared" si="3"/>
        <v/>
      </c>
      <c r="P131" s="3"/>
    </row>
    <row r="132" spans="1:16">
      <c r="A132" t="s">
        <v>658</v>
      </c>
      <c r="B132" s="3"/>
      <c r="I132" s="5"/>
      <c r="J132" s="5"/>
      <c r="K132" s="5" t="str">
        <f t="shared" si="3"/>
        <v/>
      </c>
      <c r="P132" s="3"/>
    </row>
    <row r="133" spans="1:16">
      <c r="A133" t="s">
        <v>659</v>
      </c>
      <c r="B133" s="3"/>
      <c r="I133" s="5"/>
      <c r="J133" s="5"/>
      <c r="K133" s="5" t="str">
        <f t="shared" ref="K133:K164" si="4">IF(AND(I133="",J133=""),"",I133-J133)</f>
        <v/>
      </c>
      <c r="P133" s="3"/>
    </row>
    <row r="134" spans="1:16">
      <c r="A134" t="s">
        <v>660</v>
      </c>
      <c r="B134" s="3"/>
      <c r="I134" s="5"/>
      <c r="J134" s="5"/>
      <c r="K134" s="5" t="str">
        <f t="shared" si="4"/>
        <v/>
      </c>
      <c r="P134" s="3"/>
    </row>
    <row r="135" spans="1:16">
      <c r="A135" t="s">
        <v>661</v>
      </c>
      <c r="B135" s="3"/>
      <c r="I135" s="5"/>
      <c r="J135" s="5"/>
      <c r="K135" s="5" t="str">
        <f t="shared" si="4"/>
        <v/>
      </c>
      <c r="P135" s="3"/>
    </row>
    <row r="136" spans="1:16">
      <c r="A136" t="s">
        <v>662</v>
      </c>
      <c r="B136" s="3"/>
      <c r="I136" s="5"/>
      <c r="J136" s="5"/>
      <c r="K136" s="5" t="str">
        <f t="shared" si="4"/>
        <v/>
      </c>
      <c r="P136" s="3"/>
    </row>
    <row r="137" spans="1:16">
      <c r="A137" t="s">
        <v>663</v>
      </c>
      <c r="B137" s="3"/>
      <c r="I137" s="5"/>
      <c r="J137" s="5"/>
      <c r="K137" s="5" t="str">
        <f t="shared" si="4"/>
        <v/>
      </c>
      <c r="P137" s="3"/>
    </row>
    <row r="138" spans="1:16">
      <c r="A138" t="s">
        <v>664</v>
      </c>
      <c r="B138" s="3"/>
      <c r="I138" s="5"/>
      <c r="J138" s="5"/>
      <c r="K138" s="5" t="str">
        <f t="shared" si="4"/>
        <v/>
      </c>
      <c r="P138" s="3"/>
    </row>
    <row r="139" spans="1:16">
      <c r="A139" t="s">
        <v>665</v>
      </c>
      <c r="B139" s="3"/>
      <c r="I139" s="5"/>
      <c r="J139" s="5"/>
      <c r="K139" s="5" t="str">
        <f t="shared" si="4"/>
        <v/>
      </c>
      <c r="P139" s="3"/>
    </row>
    <row r="140" spans="1:16">
      <c r="A140" t="s">
        <v>666</v>
      </c>
      <c r="B140" s="3"/>
      <c r="I140" s="5"/>
      <c r="J140" s="5"/>
      <c r="K140" s="5" t="str">
        <f t="shared" si="4"/>
        <v/>
      </c>
      <c r="P140" s="3"/>
    </row>
    <row r="141" spans="1:16">
      <c r="A141" t="s">
        <v>667</v>
      </c>
      <c r="B141" s="3"/>
      <c r="I141" s="5"/>
      <c r="J141" s="5"/>
      <c r="K141" s="5" t="str">
        <f t="shared" si="4"/>
        <v/>
      </c>
      <c r="P141" s="3"/>
    </row>
    <row r="142" spans="1:16">
      <c r="A142" t="s">
        <v>668</v>
      </c>
      <c r="B142" s="3"/>
      <c r="I142" s="5"/>
      <c r="J142" s="5"/>
      <c r="K142" s="5" t="str">
        <f t="shared" si="4"/>
        <v/>
      </c>
      <c r="P142" s="3"/>
    </row>
    <row r="143" spans="1:16">
      <c r="A143" t="s">
        <v>669</v>
      </c>
      <c r="B143" s="3"/>
      <c r="I143" s="5"/>
      <c r="J143" s="5"/>
      <c r="K143" s="5" t="str">
        <f t="shared" si="4"/>
        <v/>
      </c>
      <c r="P143" s="3"/>
    </row>
    <row r="144" spans="1:16">
      <c r="A144" t="s">
        <v>670</v>
      </c>
      <c r="B144" s="3"/>
      <c r="I144" s="5"/>
      <c r="J144" s="5"/>
      <c r="K144" s="5" t="str">
        <f t="shared" si="4"/>
        <v/>
      </c>
      <c r="P144" s="3"/>
    </row>
    <row r="145" spans="1:16">
      <c r="A145" t="s">
        <v>671</v>
      </c>
      <c r="B145" s="3"/>
      <c r="I145" s="5"/>
      <c r="J145" s="5"/>
      <c r="K145" s="5" t="str">
        <f t="shared" si="4"/>
        <v/>
      </c>
      <c r="P145" s="3"/>
    </row>
    <row r="146" spans="1:16">
      <c r="A146" t="s">
        <v>672</v>
      </c>
      <c r="B146" s="3"/>
      <c r="I146" s="5"/>
      <c r="J146" s="5"/>
      <c r="K146" s="5" t="str">
        <f t="shared" si="4"/>
        <v/>
      </c>
      <c r="P146" s="3"/>
    </row>
    <row r="147" spans="1:16">
      <c r="A147" t="s">
        <v>673</v>
      </c>
      <c r="B147" s="3"/>
      <c r="I147" s="5"/>
      <c r="J147" s="5"/>
      <c r="K147" s="5" t="str">
        <f t="shared" si="4"/>
        <v/>
      </c>
      <c r="P147" s="3"/>
    </row>
    <row r="148" spans="1:16">
      <c r="A148" t="s">
        <v>674</v>
      </c>
      <c r="B148" s="3"/>
      <c r="I148" s="5"/>
      <c r="J148" s="5"/>
      <c r="K148" s="5" t="str">
        <f t="shared" si="4"/>
        <v/>
      </c>
      <c r="P148" s="3"/>
    </row>
    <row r="149" spans="1:16">
      <c r="A149" t="s">
        <v>675</v>
      </c>
      <c r="B149" s="3"/>
      <c r="I149" s="5"/>
      <c r="J149" s="5"/>
      <c r="K149" s="5" t="str">
        <f t="shared" si="4"/>
        <v/>
      </c>
      <c r="P149" s="3"/>
    </row>
    <row r="150" spans="1:16">
      <c r="A150" t="s">
        <v>676</v>
      </c>
      <c r="B150" s="3"/>
      <c r="I150" s="5"/>
      <c r="J150" s="5"/>
      <c r="K150" s="5" t="str">
        <f t="shared" si="4"/>
        <v/>
      </c>
      <c r="P150" s="3"/>
    </row>
    <row r="151" spans="1:16">
      <c r="A151" t="s">
        <v>677</v>
      </c>
      <c r="B151" s="3"/>
      <c r="I151" s="5"/>
      <c r="J151" s="5"/>
      <c r="K151" s="5" t="str">
        <f t="shared" si="4"/>
        <v/>
      </c>
      <c r="P151" s="3"/>
    </row>
    <row r="152" spans="1:16">
      <c r="A152" t="s">
        <v>678</v>
      </c>
      <c r="B152" s="3"/>
      <c r="I152" s="5"/>
      <c r="J152" s="5"/>
      <c r="K152" s="5" t="str">
        <f t="shared" si="4"/>
        <v/>
      </c>
      <c r="P152" s="3"/>
    </row>
    <row r="153" spans="1:16">
      <c r="A153" t="s">
        <v>679</v>
      </c>
      <c r="B153" s="3"/>
      <c r="I153" s="5"/>
      <c r="J153" s="5"/>
      <c r="K153" s="5" t="str">
        <f t="shared" si="4"/>
        <v/>
      </c>
      <c r="P153" s="3"/>
    </row>
    <row r="154" spans="1:16">
      <c r="A154" t="s">
        <v>680</v>
      </c>
      <c r="B154" s="3"/>
      <c r="I154" s="5"/>
      <c r="J154" s="5"/>
      <c r="K154" s="5" t="str">
        <f t="shared" si="4"/>
        <v/>
      </c>
      <c r="P154" s="3"/>
    </row>
    <row r="155" spans="1:16">
      <c r="A155" t="s">
        <v>681</v>
      </c>
      <c r="B155" s="3"/>
      <c r="I155" s="5"/>
      <c r="J155" s="5"/>
      <c r="K155" s="5" t="str">
        <f t="shared" si="4"/>
        <v/>
      </c>
      <c r="P155" s="3"/>
    </row>
    <row r="156" spans="1:16">
      <c r="A156" t="s">
        <v>682</v>
      </c>
      <c r="B156" s="3"/>
      <c r="I156" s="5"/>
      <c r="J156" s="5"/>
      <c r="K156" s="5" t="str">
        <f t="shared" si="4"/>
        <v/>
      </c>
      <c r="P156" s="3"/>
    </row>
    <row r="157" spans="1:16">
      <c r="A157" t="s">
        <v>683</v>
      </c>
      <c r="B157" s="3"/>
      <c r="I157" s="5"/>
      <c r="J157" s="5"/>
      <c r="K157" s="5" t="str">
        <f t="shared" si="4"/>
        <v/>
      </c>
      <c r="P157" s="3"/>
    </row>
    <row r="158" spans="1:16">
      <c r="A158" t="s">
        <v>684</v>
      </c>
      <c r="B158" s="3"/>
      <c r="I158" s="5"/>
      <c r="J158" s="5"/>
      <c r="K158" s="5" t="str">
        <f t="shared" si="4"/>
        <v/>
      </c>
      <c r="P158" s="3"/>
    </row>
    <row r="159" spans="1:16">
      <c r="A159" t="s">
        <v>685</v>
      </c>
      <c r="B159" s="3"/>
      <c r="I159" s="5"/>
      <c r="J159" s="5"/>
      <c r="K159" s="5" t="str">
        <f t="shared" si="4"/>
        <v/>
      </c>
      <c r="P159" s="3"/>
    </row>
    <row r="160" spans="1:16">
      <c r="A160" t="s">
        <v>686</v>
      </c>
      <c r="B160" s="3"/>
      <c r="I160" s="5"/>
      <c r="J160" s="5"/>
      <c r="K160" s="5" t="str">
        <f t="shared" si="4"/>
        <v/>
      </c>
      <c r="P160" s="3"/>
    </row>
    <row r="161" spans="1:16">
      <c r="A161" t="s">
        <v>687</v>
      </c>
      <c r="B161" s="3"/>
      <c r="I161" s="5"/>
      <c r="J161" s="5"/>
      <c r="K161" s="5" t="str">
        <f t="shared" si="4"/>
        <v/>
      </c>
      <c r="P161" s="3"/>
    </row>
    <row r="162" spans="1:16">
      <c r="A162" t="s">
        <v>688</v>
      </c>
      <c r="B162" s="3"/>
      <c r="I162" s="5"/>
      <c r="J162" s="5"/>
      <c r="K162" s="5" t="str">
        <f t="shared" si="4"/>
        <v/>
      </c>
      <c r="P162" s="3"/>
    </row>
    <row r="163" spans="1:16">
      <c r="A163" t="s">
        <v>689</v>
      </c>
      <c r="B163" s="3"/>
      <c r="I163" s="5"/>
      <c r="J163" s="5"/>
      <c r="K163" s="5" t="str">
        <f t="shared" si="4"/>
        <v/>
      </c>
      <c r="P163" s="3"/>
    </row>
    <row r="164" spans="1:16">
      <c r="A164" t="s">
        <v>690</v>
      </c>
      <c r="B164" s="3"/>
      <c r="I164" s="5"/>
      <c r="J164" s="5"/>
      <c r="K164" s="5" t="str">
        <f t="shared" si="4"/>
        <v/>
      </c>
      <c r="P164" s="3"/>
    </row>
    <row r="165" spans="1:16">
      <c r="A165" t="s">
        <v>691</v>
      </c>
      <c r="B165" s="3"/>
      <c r="I165" s="5"/>
      <c r="J165" s="5"/>
      <c r="K165" s="5" t="str">
        <f t="shared" ref="K165:K196" si="5">IF(AND(I165="",J165=""),"",I165-J165)</f>
        <v/>
      </c>
      <c r="P165" s="3"/>
    </row>
    <row r="166" spans="1:16">
      <c r="A166" t="s">
        <v>692</v>
      </c>
      <c r="B166" s="3"/>
      <c r="I166" s="5"/>
      <c r="J166" s="5"/>
      <c r="K166" s="5" t="str">
        <f t="shared" si="5"/>
        <v/>
      </c>
      <c r="P166" s="3"/>
    </row>
    <row r="167" spans="1:16">
      <c r="A167" t="s">
        <v>693</v>
      </c>
      <c r="B167" s="3"/>
      <c r="I167" s="5"/>
      <c r="J167" s="5"/>
      <c r="K167" s="5" t="str">
        <f t="shared" si="5"/>
        <v/>
      </c>
      <c r="P167" s="3"/>
    </row>
    <row r="168" spans="1:16">
      <c r="A168" t="s">
        <v>694</v>
      </c>
      <c r="B168" s="3"/>
      <c r="I168" s="5"/>
      <c r="J168" s="5"/>
      <c r="K168" s="5" t="str">
        <f t="shared" si="5"/>
        <v/>
      </c>
      <c r="P168" s="3"/>
    </row>
    <row r="169" spans="1:16">
      <c r="A169" t="s">
        <v>695</v>
      </c>
      <c r="B169" s="3"/>
      <c r="I169" s="5"/>
      <c r="J169" s="5"/>
      <c r="K169" s="5" t="str">
        <f t="shared" si="5"/>
        <v/>
      </c>
      <c r="P169" s="3"/>
    </row>
    <row r="170" spans="1:16">
      <c r="A170" t="s">
        <v>696</v>
      </c>
      <c r="B170" s="3"/>
      <c r="I170" s="5"/>
      <c r="J170" s="5"/>
      <c r="K170" s="5" t="str">
        <f t="shared" si="5"/>
        <v/>
      </c>
      <c r="P170" s="3"/>
    </row>
    <row r="171" spans="1:16">
      <c r="A171" t="s">
        <v>697</v>
      </c>
      <c r="B171" s="3"/>
      <c r="I171" s="5"/>
      <c r="J171" s="5"/>
      <c r="K171" s="5" t="str">
        <f t="shared" si="5"/>
        <v/>
      </c>
      <c r="P171" s="3"/>
    </row>
    <row r="172" spans="1:16">
      <c r="A172" t="s">
        <v>698</v>
      </c>
      <c r="B172" s="3"/>
      <c r="I172" s="5"/>
      <c r="J172" s="5"/>
      <c r="K172" s="5" t="str">
        <f t="shared" si="5"/>
        <v/>
      </c>
      <c r="P172" s="3"/>
    </row>
    <row r="173" spans="1:16">
      <c r="A173" t="s">
        <v>699</v>
      </c>
      <c r="B173" s="3"/>
      <c r="I173" s="5"/>
      <c r="J173" s="5"/>
      <c r="K173" s="5" t="str">
        <f t="shared" si="5"/>
        <v/>
      </c>
      <c r="P173" s="3"/>
    </row>
    <row r="174" spans="1:16">
      <c r="A174" t="s">
        <v>700</v>
      </c>
      <c r="B174" s="3"/>
      <c r="I174" s="5"/>
      <c r="J174" s="5"/>
      <c r="K174" s="5" t="str">
        <f t="shared" si="5"/>
        <v/>
      </c>
      <c r="P174" s="3"/>
    </row>
    <row r="175" spans="1:16">
      <c r="A175" t="s">
        <v>701</v>
      </c>
      <c r="B175" s="3"/>
      <c r="I175" s="5"/>
      <c r="J175" s="5"/>
      <c r="K175" s="5" t="str">
        <f t="shared" si="5"/>
        <v/>
      </c>
      <c r="P175" s="3"/>
    </row>
    <row r="176" spans="1:16">
      <c r="A176" t="s">
        <v>702</v>
      </c>
      <c r="B176" s="3"/>
      <c r="I176" s="5"/>
      <c r="J176" s="5"/>
      <c r="K176" s="5" t="str">
        <f t="shared" si="5"/>
        <v/>
      </c>
      <c r="P176" s="3"/>
    </row>
    <row r="177" spans="1:16">
      <c r="A177" t="s">
        <v>703</v>
      </c>
      <c r="B177" s="3"/>
      <c r="I177" s="5"/>
      <c r="J177" s="5"/>
      <c r="K177" s="5" t="str">
        <f t="shared" si="5"/>
        <v/>
      </c>
      <c r="P177" s="3"/>
    </row>
    <row r="178" spans="1:16">
      <c r="A178" t="s">
        <v>704</v>
      </c>
      <c r="B178" s="3"/>
      <c r="I178" s="5"/>
      <c r="J178" s="5"/>
      <c r="K178" s="5" t="str">
        <f t="shared" si="5"/>
        <v/>
      </c>
      <c r="P178" s="3"/>
    </row>
    <row r="179" spans="1:16">
      <c r="A179" t="s">
        <v>705</v>
      </c>
      <c r="B179" s="3"/>
      <c r="I179" s="5"/>
      <c r="J179" s="5"/>
      <c r="K179" s="5" t="str">
        <f t="shared" si="5"/>
        <v/>
      </c>
      <c r="P179" s="3"/>
    </row>
    <row r="180" spans="1:16">
      <c r="A180" t="s">
        <v>706</v>
      </c>
      <c r="B180" s="3"/>
      <c r="I180" s="5"/>
      <c r="J180" s="5"/>
      <c r="K180" s="5" t="str">
        <f t="shared" si="5"/>
        <v/>
      </c>
      <c r="P180" s="3"/>
    </row>
    <row r="181" spans="1:16">
      <c r="A181" t="s">
        <v>707</v>
      </c>
      <c r="B181" s="3"/>
      <c r="I181" s="5"/>
      <c r="J181" s="5"/>
      <c r="K181" s="5" t="str">
        <f t="shared" si="5"/>
        <v/>
      </c>
      <c r="P181" s="3"/>
    </row>
    <row r="182" spans="1:16">
      <c r="A182" t="s">
        <v>708</v>
      </c>
      <c r="B182" s="3"/>
      <c r="I182" s="5"/>
      <c r="J182" s="5"/>
      <c r="K182" s="5" t="str">
        <f t="shared" si="5"/>
        <v/>
      </c>
      <c r="P182" s="3"/>
    </row>
    <row r="183" spans="1:16">
      <c r="A183" t="s">
        <v>709</v>
      </c>
      <c r="B183" s="3"/>
      <c r="I183" s="5"/>
      <c r="J183" s="5"/>
      <c r="K183" s="5" t="str">
        <f t="shared" si="5"/>
        <v/>
      </c>
      <c r="P183" s="3"/>
    </row>
    <row r="184" spans="1:16">
      <c r="A184" t="s">
        <v>710</v>
      </c>
      <c r="B184" s="3"/>
      <c r="I184" s="5"/>
      <c r="J184" s="5"/>
      <c r="K184" s="5" t="str">
        <f t="shared" si="5"/>
        <v/>
      </c>
      <c r="P184" s="3"/>
    </row>
    <row r="185" spans="1:16">
      <c r="A185" t="s">
        <v>711</v>
      </c>
      <c r="B185" s="3"/>
      <c r="I185" s="5"/>
      <c r="J185" s="5"/>
      <c r="K185" s="5" t="str">
        <f t="shared" si="5"/>
        <v/>
      </c>
      <c r="P185" s="3"/>
    </row>
    <row r="186" spans="1:16">
      <c r="A186" t="s">
        <v>712</v>
      </c>
      <c r="B186" s="3"/>
      <c r="I186" s="5"/>
      <c r="J186" s="5"/>
      <c r="K186" s="5" t="str">
        <f t="shared" si="5"/>
        <v/>
      </c>
      <c r="P186" s="3"/>
    </row>
    <row r="187" spans="1:16">
      <c r="A187" t="s">
        <v>713</v>
      </c>
      <c r="B187" s="3"/>
      <c r="I187" s="5"/>
      <c r="J187" s="5"/>
      <c r="K187" s="5" t="str">
        <f t="shared" si="5"/>
        <v/>
      </c>
      <c r="P187" s="3"/>
    </row>
    <row r="188" spans="1:16">
      <c r="A188" t="s">
        <v>714</v>
      </c>
      <c r="B188" s="3"/>
      <c r="I188" s="5"/>
      <c r="J188" s="5"/>
      <c r="K188" s="5" t="str">
        <f t="shared" si="5"/>
        <v/>
      </c>
      <c r="P188" s="3"/>
    </row>
    <row r="189" spans="1:16">
      <c r="A189" t="s">
        <v>715</v>
      </c>
      <c r="B189" s="3"/>
      <c r="I189" s="5"/>
      <c r="J189" s="5"/>
      <c r="K189" s="5" t="str">
        <f t="shared" si="5"/>
        <v/>
      </c>
      <c r="P189" s="3"/>
    </row>
    <row r="190" spans="1:16">
      <c r="A190" t="s">
        <v>716</v>
      </c>
      <c r="B190" s="3"/>
      <c r="I190" s="5"/>
      <c r="J190" s="5"/>
      <c r="K190" s="5" t="str">
        <f t="shared" si="5"/>
        <v/>
      </c>
      <c r="P190" s="3"/>
    </row>
    <row r="191" spans="1:16">
      <c r="A191" t="s">
        <v>717</v>
      </c>
      <c r="B191" s="3"/>
      <c r="I191" s="5"/>
      <c r="J191" s="5"/>
      <c r="K191" s="5" t="str">
        <f t="shared" si="5"/>
        <v/>
      </c>
      <c r="P191" s="3"/>
    </row>
    <row r="192" spans="1:16">
      <c r="A192" t="s">
        <v>718</v>
      </c>
      <c r="B192" s="3"/>
      <c r="I192" s="5"/>
      <c r="J192" s="5"/>
      <c r="K192" s="5" t="str">
        <f t="shared" si="5"/>
        <v/>
      </c>
      <c r="P192" s="3"/>
    </row>
    <row r="193" spans="1:16">
      <c r="A193" t="s">
        <v>719</v>
      </c>
      <c r="B193" s="3"/>
      <c r="I193" s="5"/>
      <c r="J193" s="5"/>
      <c r="K193" s="5" t="str">
        <f t="shared" si="5"/>
        <v/>
      </c>
      <c r="P193" s="3"/>
    </row>
    <row r="194" spans="1:16">
      <c r="A194" t="s">
        <v>720</v>
      </c>
      <c r="B194" s="3"/>
      <c r="I194" s="5"/>
      <c r="J194" s="5"/>
      <c r="K194" s="5" t="str">
        <f t="shared" si="5"/>
        <v/>
      </c>
      <c r="P194" s="3"/>
    </row>
    <row r="195" spans="1:16">
      <c r="A195" t="s">
        <v>721</v>
      </c>
      <c r="B195" s="3"/>
      <c r="I195" s="5"/>
      <c r="J195" s="5"/>
      <c r="K195" s="5" t="str">
        <f t="shared" si="5"/>
        <v/>
      </c>
      <c r="P195" s="3"/>
    </row>
    <row r="196" spans="1:16">
      <c r="A196" t="s">
        <v>722</v>
      </c>
      <c r="B196" s="3"/>
      <c r="I196" s="5"/>
      <c r="J196" s="5"/>
      <c r="K196" s="5" t="str">
        <f t="shared" si="5"/>
        <v/>
      </c>
      <c r="P196" s="3"/>
    </row>
    <row r="197" spans="1:16">
      <c r="A197" t="s">
        <v>723</v>
      </c>
      <c r="B197" s="3"/>
      <c r="I197" s="5"/>
      <c r="J197" s="5"/>
      <c r="K197" s="5" t="str">
        <f t="shared" ref="K197:K204" si="6">IF(AND(I197="",J197=""),"",I197-J197)</f>
        <v/>
      </c>
      <c r="P197" s="3"/>
    </row>
    <row r="198" spans="1:16">
      <c r="A198" t="s">
        <v>724</v>
      </c>
      <c r="B198" s="3"/>
      <c r="I198" s="5"/>
      <c r="J198" s="5"/>
      <c r="K198" s="5" t="str">
        <f t="shared" si="6"/>
        <v/>
      </c>
      <c r="P198" s="3"/>
    </row>
    <row r="199" spans="1:16">
      <c r="A199" t="s">
        <v>725</v>
      </c>
      <c r="B199" s="3"/>
      <c r="I199" s="5"/>
      <c r="J199" s="5"/>
      <c r="K199" s="5" t="str">
        <f t="shared" si="6"/>
        <v/>
      </c>
      <c r="P199" s="3"/>
    </row>
    <row r="200" spans="1:16">
      <c r="A200" t="s">
        <v>726</v>
      </c>
      <c r="B200" s="3"/>
      <c r="I200" s="5"/>
      <c r="J200" s="5"/>
      <c r="K200" s="5" t="str">
        <f t="shared" si="6"/>
        <v/>
      </c>
      <c r="P200" s="3"/>
    </row>
    <row r="201" spans="1:16">
      <c r="A201" t="s">
        <v>727</v>
      </c>
      <c r="B201" s="3"/>
      <c r="I201" s="5"/>
      <c r="J201" s="5"/>
      <c r="K201" s="5" t="str">
        <f t="shared" si="6"/>
        <v/>
      </c>
      <c r="P201" s="3"/>
    </row>
    <row r="202" spans="1:16">
      <c r="A202" t="s">
        <v>728</v>
      </c>
      <c r="B202" s="3"/>
      <c r="I202" s="5"/>
      <c r="J202" s="5"/>
      <c r="K202" s="5" t="str">
        <f t="shared" si="6"/>
        <v/>
      </c>
      <c r="P202" s="3"/>
    </row>
    <row r="203" spans="1:16">
      <c r="A203" t="s">
        <v>729</v>
      </c>
      <c r="B203" s="3"/>
      <c r="I203" s="5"/>
      <c r="J203" s="5"/>
      <c r="K203" s="5" t="str">
        <f t="shared" si="6"/>
        <v/>
      </c>
      <c r="P203" s="3"/>
    </row>
    <row r="204" spans="1:16">
      <c r="A204" t="s">
        <v>730</v>
      </c>
      <c r="B204" s="3"/>
      <c r="I204" s="5"/>
      <c r="J204" s="5"/>
      <c r="K204" s="5" t="str">
        <f t="shared" si="6"/>
        <v/>
      </c>
      <c r="P204" s="3"/>
    </row>
  </sheetData>
  <mergeCells count="2">
    <mergeCell ref="A1:Q1"/>
    <mergeCell ref="A2:Q2"/>
  </mergeCells>
  <conditionalFormatting sqref="K5:K204">
    <cfRule type="cellIs" dxfId="3" priority="1" operator="lessThan">
      <formula>0</formula>
    </cfRule>
  </conditionalFormatting>
  <dataValidations count="1">
    <dataValidation type="list" sqref="C5:C204" xr:uid="{00000000-0002-0000-0500-000000000000}">
      <formula1>"Encaissement client,Paiement partenaire,Dépense exploitation,Remboursement client,Autre"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1000000}">
          <x14:formula1>
            <xm:f>Paramètres!$D$14:$D$17</xm:f>
          </x14:formula1>
          <xm:sqref>G5:G204</xm:sqref>
        </x14:dataValidation>
        <x14:dataValidation type="list" xr:uid="{00000000-0002-0000-0500-000002000000}">
          <x14:formula1>
            <xm:f>Paramètres!$H$14:$H$15</xm:f>
          </x14:formula1>
          <xm:sqref>O5:O204 L5:M204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4"/>
  <sheetViews>
    <sheetView workbookViewId="0">
      <selection sqref="A1:Q1"/>
    </sheetView>
  </sheetViews>
  <sheetFormatPr baseColWidth="10" defaultColWidth="9" defaultRowHeight="14.25"/>
  <cols>
    <col min="1" max="1" width="16" customWidth="1"/>
    <col min="2" max="2" width="18" customWidth="1"/>
    <col min="3" max="3" width="28" customWidth="1"/>
    <col min="4" max="4" width="18" customWidth="1"/>
    <col min="5" max="5" width="24" customWidth="1"/>
    <col min="6" max="6" width="22" customWidth="1"/>
    <col min="7" max="7" width="24" customWidth="1"/>
    <col min="8" max="8" width="22" customWidth="1"/>
    <col min="9" max="10" width="16" customWidth="1"/>
    <col min="11" max="12" width="20" customWidth="1"/>
    <col min="13" max="13" width="14" customWidth="1"/>
    <col min="14" max="14" width="16" customWidth="1"/>
    <col min="15" max="16" width="14" customWidth="1"/>
    <col min="17" max="17" width="28" customWidth="1"/>
  </cols>
  <sheetData>
    <row r="1" spans="1:17" ht="27.95" customHeight="1">
      <c r="A1" s="13" t="s">
        <v>731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4" spans="1:17" ht="32.1" customHeight="1">
      <c r="A4" s="1" t="s">
        <v>732</v>
      </c>
      <c r="B4" s="1" t="s">
        <v>733</v>
      </c>
      <c r="C4" s="1" t="s">
        <v>734</v>
      </c>
      <c r="D4" s="1" t="s">
        <v>735</v>
      </c>
      <c r="E4" s="1" t="s">
        <v>60</v>
      </c>
      <c r="F4" s="1" t="s">
        <v>736</v>
      </c>
      <c r="G4" s="1" t="s">
        <v>737</v>
      </c>
      <c r="H4" s="1" t="s">
        <v>738</v>
      </c>
      <c r="I4" s="1" t="s">
        <v>739</v>
      </c>
      <c r="J4" s="1" t="s">
        <v>740</v>
      </c>
      <c r="K4" s="1" t="s">
        <v>741</v>
      </c>
      <c r="L4" s="1" t="s">
        <v>742</v>
      </c>
      <c r="M4" s="1" t="s">
        <v>71</v>
      </c>
      <c r="N4" s="1" t="s">
        <v>743</v>
      </c>
      <c r="O4" s="1" t="s">
        <v>744</v>
      </c>
      <c r="P4" s="1" t="s">
        <v>745</v>
      </c>
      <c r="Q4" s="1" t="s">
        <v>72</v>
      </c>
    </row>
    <row r="5" spans="1:17">
      <c r="A5" t="s">
        <v>746</v>
      </c>
      <c r="I5" s="3"/>
      <c r="J5" s="3"/>
      <c r="N5" s="3"/>
      <c r="O5" s="8"/>
    </row>
    <row r="6" spans="1:17">
      <c r="A6" t="s">
        <v>747</v>
      </c>
      <c r="I6" s="3"/>
      <c r="J6" s="3"/>
      <c r="N6" s="3"/>
      <c r="O6" s="8"/>
    </row>
    <row r="7" spans="1:17">
      <c r="A7" t="s">
        <v>748</v>
      </c>
      <c r="I7" s="3"/>
      <c r="J7" s="3"/>
      <c r="N7" s="3"/>
      <c r="O7" s="8"/>
    </row>
    <row r="8" spans="1:17">
      <c r="A8" t="s">
        <v>749</v>
      </c>
      <c r="I8" s="3"/>
      <c r="J8" s="3"/>
      <c r="N8" s="3"/>
      <c r="O8" s="8"/>
    </row>
    <row r="9" spans="1:17">
      <c r="A9" t="s">
        <v>750</v>
      </c>
      <c r="I9" s="3"/>
      <c r="J9" s="3"/>
      <c r="N9" s="3"/>
      <c r="O9" s="8"/>
    </row>
    <row r="10" spans="1:17">
      <c r="A10" t="s">
        <v>751</v>
      </c>
      <c r="I10" s="3"/>
      <c r="J10" s="3"/>
      <c r="N10" s="3"/>
      <c r="O10" s="8"/>
    </row>
    <row r="11" spans="1:17">
      <c r="A11" t="s">
        <v>752</v>
      </c>
      <c r="I11" s="3"/>
      <c r="J11" s="3"/>
      <c r="N11" s="3"/>
      <c r="O11" s="8"/>
    </row>
    <row r="12" spans="1:17">
      <c r="A12" t="s">
        <v>753</v>
      </c>
      <c r="I12" s="3"/>
      <c r="J12" s="3"/>
      <c r="N12" s="3"/>
      <c r="O12" s="8"/>
    </row>
    <row r="13" spans="1:17">
      <c r="A13" t="s">
        <v>754</v>
      </c>
      <c r="I13" s="3"/>
      <c r="J13" s="3"/>
      <c r="N13" s="3"/>
      <c r="O13" s="8"/>
    </row>
    <row r="14" spans="1:17">
      <c r="A14" t="s">
        <v>755</v>
      </c>
      <c r="I14" s="3"/>
      <c r="J14" s="3"/>
      <c r="N14" s="3"/>
      <c r="O14" s="8"/>
    </row>
    <row r="15" spans="1:17">
      <c r="A15" t="s">
        <v>756</v>
      </c>
      <c r="I15" s="3"/>
      <c r="J15" s="3"/>
      <c r="N15" s="3"/>
      <c r="O15" s="8"/>
    </row>
    <row r="16" spans="1:17">
      <c r="A16" t="s">
        <v>757</v>
      </c>
      <c r="I16" s="3"/>
      <c r="J16" s="3"/>
      <c r="N16" s="3"/>
      <c r="O16" s="8"/>
    </row>
    <row r="17" spans="1:15">
      <c r="A17" t="s">
        <v>758</v>
      </c>
      <c r="I17" s="3"/>
      <c r="J17" s="3"/>
      <c r="N17" s="3"/>
      <c r="O17" s="8"/>
    </row>
    <row r="18" spans="1:15">
      <c r="A18" t="s">
        <v>759</v>
      </c>
      <c r="I18" s="3"/>
      <c r="J18" s="3"/>
      <c r="N18" s="3"/>
      <c r="O18" s="8"/>
    </row>
    <row r="19" spans="1:15">
      <c r="A19" t="s">
        <v>760</v>
      </c>
      <c r="I19" s="3"/>
      <c r="J19" s="3"/>
      <c r="N19" s="3"/>
      <c r="O19" s="8"/>
    </row>
    <row r="20" spans="1:15">
      <c r="A20" t="s">
        <v>761</v>
      </c>
      <c r="I20" s="3"/>
      <c r="J20" s="3"/>
      <c r="N20" s="3"/>
      <c r="O20" s="8"/>
    </row>
    <row r="21" spans="1:15">
      <c r="A21" t="s">
        <v>762</v>
      </c>
      <c r="I21" s="3"/>
      <c r="J21" s="3"/>
      <c r="N21" s="3"/>
      <c r="O21" s="8"/>
    </row>
    <row r="22" spans="1:15">
      <c r="A22" t="s">
        <v>763</v>
      </c>
      <c r="I22" s="3"/>
      <c r="J22" s="3"/>
      <c r="N22" s="3"/>
      <c r="O22" s="8"/>
    </row>
    <row r="23" spans="1:15">
      <c r="A23" t="s">
        <v>764</v>
      </c>
      <c r="I23" s="3"/>
      <c r="J23" s="3"/>
      <c r="N23" s="3"/>
      <c r="O23" s="8"/>
    </row>
    <row r="24" spans="1:15">
      <c r="A24" t="s">
        <v>765</v>
      </c>
      <c r="I24" s="3"/>
      <c r="J24" s="3"/>
      <c r="N24" s="3"/>
      <c r="O24" s="8"/>
    </row>
    <row r="25" spans="1:15">
      <c r="A25" t="s">
        <v>766</v>
      </c>
      <c r="I25" s="3"/>
      <c r="J25" s="3"/>
      <c r="N25" s="3"/>
      <c r="O25" s="8"/>
    </row>
    <row r="26" spans="1:15">
      <c r="A26" t="s">
        <v>767</v>
      </c>
      <c r="I26" s="3"/>
      <c r="J26" s="3"/>
      <c r="N26" s="3"/>
      <c r="O26" s="8"/>
    </row>
    <row r="27" spans="1:15">
      <c r="A27" t="s">
        <v>768</v>
      </c>
      <c r="I27" s="3"/>
      <c r="J27" s="3"/>
      <c r="N27" s="3"/>
      <c r="O27" s="8"/>
    </row>
    <row r="28" spans="1:15">
      <c r="A28" t="s">
        <v>769</v>
      </c>
      <c r="I28" s="3"/>
      <c r="J28" s="3"/>
      <c r="N28" s="3"/>
      <c r="O28" s="8"/>
    </row>
    <row r="29" spans="1:15">
      <c r="A29" t="s">
        <v>770</v>
      </c>
      <c r="I29" s="3"/>
      <c r="J29" s="3"/>
      <c r="N29" s="3"/>
      <c r="O29" s="8"/>
    </row>
    <row r="30" spans="1:15">
      <c r="A30" t="s">
        <v>771</v>
      </c>
      <c r="I30" s="3"/>
      <c r="J30" s="3"/>
      <c r="N30" s="3"/>
      <c r="O30" s="8"/>
    </row>
    <row r="31" spans="1:15">
      <c r="A31" t="s">
        <v>772</v>
      </c>
      <c r="I31" s="3"/>
      <c r="J31" s="3"/>
      <c r="N31" s="3"/>
      <c r="O31" s="8"/>
    </row>
    <row r="32" spans="1:15">
      <c r="A32" t="s">
        <v>773</v>
      </c>
      <c r="I32" s="3"/>
      <c r="J32" s="3"/>
      <c r="N32" s="3"/>
      <c r="O32" s="8"/>
    </row>
    <row r="33" spans="1:15">
      <c r="A33" t="s">
        <v>774</v>
      </c>
      <c r="I33" s="3"/>
      <c r="J33" s="3"/>
      <c r="N33" s="3"/>
      <c r="O33" s="8"/>
    </row>
    <row r="34" spans="1:15">
      <c r="A34" t="s">
        <v>775</v>
      </c>
      <c r="I34" s="3"/>
      <c r="J34" s="3"/>
      <c r="N34" s="3"/>
      <c r="O34" s="8"/>
    </row>
    <row r="35" spans="1:15">
      <c r="A35" t="s">
        <v>776</v>
      </c>
      <c r="I35" s="3"/>
      <c r="J35" s="3"/>
      <c r="N35" s="3"/>
      <c r="O35" s="8"/>
    </row>
    <row r="36" spans="1:15">
      <c r="A36" t="s">
        <v>777</v>
      </c>
      <c r="I36" s="3"/>
      <c r="J36" s="3"/>
      <c r="N36" s="3"/>
      <c r="O36" s="8"/>
    </row>
    <row r="37" spans="1:15">
      <c r="A37" t="s">
        <v>778</v>
      </c>
      <c r="I37" s="3"/>
      <c r="J37" s="3"/>
      <c r="N37" s="3"/>
      <c r="O37" s="8"/>
    </row>
    <row r="38" spans="1:15">
      <c r="A38" t="s">
        <v>779</v>
      </c>
      <c r="I38" s="3"/>
      <c r="J38" s="3"/>
      <c r="N38" s="3"/>
      <c r="O38" s="8"/>
    </row>
    <row r="39" spans="1:15">
      <c r="A39" t="s">
        <v>780</v>
      </c>
      <c r="I39" s="3"/>
      <c r="J39" s="3"/>
      <c r="N39" s="3"/>
      <c r="O39" s="8"/>
    </row>
    <row r="40" spans="1:15">
      <c r="A40" t="s">
        <v>781</v>
      </c>
      <c r="I40" s="3"/>
      <c r="J40" s="3"/>
      <c r="N40" s="3"/>
      <c r="O40" s="8"/>
    </row>
    <row r="41" spans="1:15">
      <c r="A41" t="s">
        <v>782</v>
      </c>
      <c r="I41" s="3"/>
      <c r="J41" s="3"/>
      <c r="N41" s="3"/>
      <c r="O41" s="8"/>
    </row>
    <row r="42" spans="1:15">
      <c r="A42" t="s">
        <v>783</v>
      </c>
      <c r="I42" s="3"/>
      <c r="J42" s="3"/>
      <c r="N42" s="3"/>
      <c r="O42" s="8"/>
    </row>
    <row r="43" spans="1:15">
      <c r="A43" t="s">
        <v>784</v>
      </c>
      <c r="I43" s="3"/>
      <c r="J43" s="3"/>
      <c r="N43" s="3"/>
      <c r="O43" s="8"/>
    </row>
    <row r="44" spans="1:15">
      <c r="A44" t="s">
        <v>785</v>
      </c>
      <c r="I44" s="3"/>
      <c r="J44" s="3"/>
      <c r="N44" s="3"/>
      <c r="O44" s="8"/>
    </row>
    <row r="45" spans="1:15">
      <c r="A45" t="s">
        <v>786</v>
      </c>
      <c r="I45" s="3"/>
      <c r="J45" s="3"/>
      <c r="N45" s="3"/>
      <c r="O45" s="8"/>
    </row>
    <row r="46" spans="1:15">
      <c r="A46" t="s">
        <v>787</v>
      </c>
      <c r="I46" s="3"/>
      <c r="J46" s="3"/>
      <c r="N46" s="3"/>
      <c r="O46" s="8"/>
    </row>
    <row r="47" spans="1:15">
      <c r="A47" t="s">
        <v>788</v>
      </c>
      <c r="I47" s="3"/>
      <c r="J47" s="3"/>
      <c r="N47" s="3"/>
      <c r="O47" s="8"/>
    </row>
    <row r="48" spans="1:15">
      <c r="A48" t="s">
        <v>789</v>
      </c>
      <c r="I48" s="3"/>
      <c r="J48" s="3"/>
      <c r="N48" s="3"/>
      <c r="O48" s="8"/>
    </row>
    <row r="49" spans="1:15">
      <c r="A49" t="s">
        <v>790</v>
      </c>
      <c r="I49" s="3"/>
      <c r="J49" s="3"/>
      <c r="N49" s="3"/>
      <c r="O49" s="8"/>
    </row>
    <row r="50" spans="1:15">
      <c r="A50" t="s">
        <v>791</v>
      </c>
      <c r="I50" s="3"/>
      <c r="J50" s="3"/>
      <c r="N50" s="3"/>
      <c r="O50" s="8"/>
    </row>
    <row r="51" spans="1:15">
      <c r="A51" t="s">
        <v>792</v>
      </c>
      <c r="I51" s="3"/>
      <c r="J51" s="3"/>
      <c r="N51" s="3"/>
      <c r="O51" s="8"/>
    </row>
    <row r="52" spans="1:15">
      <c r="A52" t="s">
        <v>793</v>
      </c>
      <c r="I52" s="3"/>
      <c r="J52" s="3"/>
      <c r="N52" s="3"/>
      <c r="O52" s="8"/>
    </row>
    <row r="53" spans="1:15">
      <c r="A53" t="s">
        <v>794</v>
      </c>
      <c r="I53" s="3"/>
      <c r="J53" s="3"/>
      <c r="N53" s="3"/>
      <c r="O53" s="8"/>
    </row>
    <row r="54" spans="1:15">
      <c r="A54" t="s">
        <v>795</v>
      </c>
      <c r="I54" s="3"/>
      <c r="J54" s="3"/>
      <c r="N54" s="3"/>
      <c r="O54" s="8"/>
    </row>
    <row r="55" spans="1:15">
      <c r="A55" t="s">
        <v>796</v>
      </c>
      <c r="I55" s="3"/>
      <c r="J55" s="3"/>
      <c r="N55" s="3"/>
      <c r="O55" s="8"/>
    </row>
    <row r="56" spans="1:15">
      <c r="A56" t="s">
        <v>797</v>
      </c>
      <c r="I56" s="3"/>
      <c r="J56" s="3"/>
      <c r="N56" s="3"/>
      <c r="O56" s="8"/>
    </row>
    <row r="57" spans="1:15">
      <c r="A57" t="s">
        <v>798</v>
      </c>
      <c r="I57" s="3"/>
      <c r="J57" s="3"/>
      <c r="N57" s="3"/>
      <c r="O57" s="8"/>
    </row>
    <row r="58" spans="1:15">
      <c r="A58" t="s">
        <v>799</v>
      </c>
      <c r="I58" s="3"/>
      <c r="J58" s="3"/>
      <c r="N58" s="3"/>
      <c r="O58" s="8"/>
    </row>
    <row r="59" spans="1:15">
      <c r="A59" t="s">
        <v>800</v>
      </c>
      <c r="I59" s="3"/>
      <c r="J59" s="3"/>
      <c r="N59" s="3"/>
      <c r="O59" s="8"/>
    </row>
    <row r="60" spans="1:15">
      <c r="A60" t="s">
        <v>801</v>
      </c>
      <c r="I60" s="3"/>
      <c r="J60" s="3"/>
      <c r="N60" s="3"/>
      <c r="O60" s="8"/>
    </row>
    <row r="61" spans="1:15">
      <c r="A61" t="s">
        <v>802</v>
      </c>
      <c r="I61" s="3"/>
      <c r="J61" s="3"/>
      <c r="N61" s="3"/>
      <c r="O61" s="8"/>
    </row>
    <row r="62" spans="1:15">
      <c r="A62" t="s">
        <v>803</v>
      </c>
      <c r="I62" s="3"/>
      <c r="J62" s="3"/>
      <c r="N62" s="3"/>
      <c r="O62" s="8"/>
    </row>
    <row r="63" spans="1:15">
      <c r="A63" t="s">
        <v>804</v>
      </c>
      <c r="I63" s="3"/>
      <c r="J63" s="3"/>
      <c r="N63" s="3"/>
      <c r="O63" s="8"/>
    </row>
    <row r="64" spans="1:15">
      <c r="A64" t="s">
        <v>805</v>
      </c>
      <c r="I64" s="3"/>
      <c r="J64" s="3"/>
      <c r="N64" s="3"/>
      <c r="O64" s="8"/>
    </row>
    <row r="65" spans="1:15">
      <c r="A65" t="s">
        <v>806</v>
      </c>
      <c r="I65" s="3"/>
      <c r="J65" s="3"/>
      <c r="N65" s="3"/>
      <c r="O65" s="8"/>
    </row>
    <row r="66" spans="1:15">
      <c r="A66" t="s">
        <v>807</v>
      </c>
      <c r="I66" s="3"/>
      <c r="J66" s="3"/>
      <c r="N66" s="3"/>
      <c r="O66" s="8"/>
    </row>
    <row r="67" spans="1:15">
      <c r="A67" t="s">
        <v>808</v>
      </c>
      <c r="I67" s="3"/>
      <c r="J67" s="3"/>
      <c r="N67" s="3"/>
      <c r="O67" s="8"/>
    </row>
    <row r="68" spans="1:15">
      <c r="A68" t="s">
        <v>809</v>
      </c>
      <c r="I68" s="3"/>
      <c r="J68" s="3"/>
      <c r="N68" s="3"/>
      <c r="O68" s="8"/>
    </row>
    <row r="69" spans="1:15">
      <c r="A69" t="s">
        <v>810</v>
      </c>
      <c r="I69" s="3"/>
      <c r="J69" s="3"/>
      <c r="N69" s="3"/>
      <c r="O69" s="8"/>
    </row>
    <row r="70" spans="1:15">
      <c r="A70" t="s">
        <v>811</v>
      </c>
      <c r="I70" s="3"/>
      <c r="J70" s="3"/>
      <c r="N70" s="3"/>
      <c r="O70" s="8"/>
    </row>
    <row r="71" spans="1:15">
      <c r="A71" t="s">
        <v>812</v>
      </c>
      <c r="I71" s="3"/>
      <c r="J71" s="3"/>
      <c r="N71" s="3"/>
      <c r="O71" s="8"/>
    </row>
    <row r="72" spans="1:15">
      <c r="A72" t="s">
        <v>813</v>
      </c>
      <c r="I72" s="3"/>
      <c r="J72" s="3"/>
      <c r="N72" s="3"/>
      <c r="O72" s="8"/>
    </row>
    <row r="73" spans="1:15">
      <c r="A73" t="s">
        <v>814</v>
      </c>
      <c r="I73" s="3"/>
      <c r="J73" s="3"/>
      <c r="N73" s="3"/>
      <c r="O73" s="8"/>
    </row>
    <row r="74" spans="1:15">
      <c r="A74" t="s">
        <v>815</v>
      </c>
      <c r="I74" s="3"/>
      <c r="J74" s="3"/>
      <c r="N74" s="3"/>
      <c r="O74" s="8"/>
    </row>
    <row r="75" spans="1:15">
      <c r="A75" t="s">
        <v>816</v>
      </c>
      <c r="I75" s="3"/>
      <c r="J75" s="3"/>
      <c r="N75" s="3"/>
      <c r="O75" s="8"/>
    </row>
    <row r="76" spans="1:15">
      <c r="A76" t="s">
        <v>817</v>
      </c>
      <c r="I76" s="3"/>
      <c r="J76" s="3"/>
      <c r="N76" s="3"/>
      <c r="O76" s="8"/>
    </row>
    <row r="77" spans="1:15">
      <c r="A77" t="s">
        <v>818</v>
      </c>
      <c r="I77" s="3"/>
      <c r="J77" s="3"/>
      <c r="N77" s="3"/>
      <c r="O77" s="8"/>
    </row>
    <row r="78" spans="1:15">
      <c r="A78" t="s">
        <v>819</v>
      </c>
      <c r="I78" s="3"/>
      <c r="J78" s="3"/>
      <c r="N78" s="3"/>
      <c r="O78" s="8"/>
    </row>
    <row r="79" spans="1:15">
      <c r="A79" t="s">
        <v>820</v>
      </c>
      <c r="I79" s="3"/>
      <c r="J79" s="3"/>
      <c r="N79" s="3"/>
      <c r="O79" s="8"/>
    </row>
    <row r="80" spans="1:15">
      <c r="A80" t="s">
        <v>821</v>
      </c>
      <c r="I80" s="3"/>
      <c r="J80" s="3"/>
      <c r="N80" s="3"/>
      <c r="O80" s="8"/>
    </row>
    <row r="81" spans="1:15">
      <c r="A81" t="s">
        <v>822</v>
      </c>
      <c r="I81" s="3"/>
      <c r="J81" s="3"/>
      <c r="N81" s="3"/>
      <c r="O81" s="8"/>
    </row>
    <row r="82" spans="1:15">
      <c r="A82" t="s">
        <v>823</v>
      </c>
      <c r="I82" s="3"/>
      <c r="J82" s="3"/>
      <c r="N82" s="3"/>
      <c r="O82" s="8"/>
    </row>
    <row r="83" spans="1:15">
      <c r="A83" t="s">
        <v>824</v>
      </c>
      <c r="I83" s="3"/>
      <c r="J83" s="3"/>
      <c r="N83" s="3"/>
      <c r="O83" s="8"/>
    </row>
    <row r="84" spans="1:15">
      <c r="A84" t="s">
        <v>825</v>
      </c>
      <c r="I84" s="3"/>
      <c r="J84" s="3"/>
      <c r="N84" s="3"/>
      <c r="O84" s="8"/>
    </row>
    <row r="85" spans="1:15">
      <c r="A85" t="s">
        <v>826</v>
      </c>
      <c r="I85" s="3"/>
      <c r="J85" s="3"/>
      <c r="N85" s="3"/>
      <c r="O85" s="8"/>
    </row>
    <row r="86" spans="1:15">
      <c r="A86" t="s">
        <v>827</v>
      </c>
      <c r="I86" s="3"/>
      <c r="J86" s="3"/>
      <c r="N86" s="3"/>
      <c r="O86" s="8"/>
    </row>
    <row r="87" spans="1:15">
      <c r="A87" t="s">
        <v>828</v>
      </c>
      <c r="I87" s="3"/>
      <c r="J87" s="3"/>
      <c r="N87" s="3"/>
      <c r="O87" s="8"/>
    </row>
    <row r="88" spans="1:15">
      <c r="A88" t="s">
        <v>829</v>
      </c>
      <c r="I88" s="3"/>
      <c r="J88" s="3"/>
      <c r="N88" s="3"/>
      <c r="O88" s="8"/>
    </row>
    <row r="89" spans="1:15">
      <c r="A89" t="s">
        <v>830</v>
      </c>
      <c r="I89" s="3"/>
      <c r="J89" s="3"/>
      <c r="N89" s="3"/>
      <c r="O89" s="8"/>
    </row>
    <row r="90" spans="1:15">
      <c r="A90" t="s">
        <v>831</v>
      </c>
      <c r="I90" s="3"/>
      <c r="J90" s="3"/>
      <c r="N90" s="3"/>
      <c r="O90" s="8"/>
    </row>
    <row r="91" spans="1:15">
      <c r="A91" t="s">
        <v>832</v>
      </c>
      <c r="I91" s="3"/>
      <c r="J91" s="3"/>
      <c r="N91" s="3"/>
      <c r="O91" s="8"/>
    </row>
    <row r="92" spans="1:15">
      <c r="A92" t="s">
        <v>833</v>
      </c>
      <c r="I92" s="3"/>
      <c r="J92" s="3"/>
      <c r="N92" s="3"/>
      <c r="O92" s="8"/>
    </row>
    <row r="93" spans="1:15">
      <c r="A93" t="s">
        <v>834</v>
      </c>
      <c r="I93" s="3"/>
      <c r="J93" s="3"/>
      <c r="N93" s="3"/>
      <c r="O93" s="8"/>
    </row>
    <row r="94" spans="1:15">
      <c r="A94" t="s">
        <v>835</v>
      </c>
      <c r="I94" s="3"/>
      <c r="J94" s="3"/>
      <c r="N94" s="3"/>
      <c r="O94" s="8"/>
    </row>
    <row r="95" spans="1:15">
      <c r="A95" t="s">
        <v>836</v>
      </c>
      <c r="I95" s="3"/>
      <c r="J95" s="3"/>
      <c r="N95" s="3"/>
      <c r="O95" s="8"/>
    </row>
    <row r="96" spans="1:15">
      <c r="A96" t="s">
        <v>837</v>
      </c>
      <c r="I96" s="3"/>
      <c r="J96" s="3"/>
      <c r="N96" s="3"/>
      <c r="O96" s="8"/>
    </row>
    <row r="97" spans="1:15">
      <c r="A97" t="s">
        <v>838</v>
      </c>
      <c r="I97" s="3"/>
      <c r="J97" s="3"/>
      <c r="N97" s="3"/>
      <c r="O97" s="8"/>
    </row>
    <row r="98" spans="1:15">
      <c r="A98" t="s">
        <v>839</v>
      </c>
      <c r="I98" s="3"/>
      <c r="J98" s="3"/>
      <c r="N98" s="3"/>
      <c r="O98" s="8"/>
    </row>
    <row r="99" spans="1:15">
      <c r="A99" t="s">
        <v>840</v>
      </c>
      <c r="I99" s="3"/>
      <c r="J99" s="3"/>
      <c r="N99" s="3"/>
      <c r="O99" s="8"/>
    </row>
    <row r="100" spans="1:15">
      <c r="A100" t="s">
        <v>841</v>
      </c>
      <c r="I100" s="3"/>
      <c r="J100" s="3"/>
      <c r="N100" s="3"/>
      <c r="O100" s="8"/>
    </row>
    <row r="101" spans="1:15">
      <c r="A101" t="s">
        <v>842</v>
      </c>
      <c r="I101" s="3"/>
      <c r="J101" s="3"/>
      <c r="N101" s="3"/>
      <c r="O101" s="8"/>
    </row>
    <row r="102" spans="1:15">
      <c r="A102" t="s">
        <v>843</v>
      </c>
      <c r="I102" s="3"/>
      <c r="J102" s="3"/>
      <c r="N102" s="3"/>
      <c r="O102" s="8"/>
    </row>
    <row r="103" spans="1:15">
      <c r="A103" t="s">
        <v>844</v>
      </c>
      <c r="I103" s="3"/>
      <c r="J103" s="3"/>
      <c r="N103" s="3"/>
      <c r="O103" s="8"/>
    </row>
    <row r="104" spans="1:15">
      <c r="A104" t="s">
        <v>845</v>
      </c>
      <c r="I104" s="3"/>
      <c r="J104" s="3"/>
      <c r="N104" s="3"/>
      <c r="O104" s="8"/>
    </row>
  </sheetData>
  <mergeCells count="2">
    <mergeCell ref="A1:Q1"/>
    <mergeCell ref="A2:Q2"/>
  </mergeCells>
  <conditionalFormatting sqref="M5:M104">
    <cfRule type="expression" dxfId="2" priority="1">
      <formula>M5="Actif"</formula>
    </cfRule>
    <cfRule type="expression" dxfId="1" priority="2">
      <formula>M5="À renouveler"</formula>
    </cfRule>
  </conditionalFormatting>
  <dataValidations count="3">
    <dataValidation type="list" sqref="B5:B104" xr:uid="{00000000-0002-0000-0600-000000000000}">
      <formula1>"Nautique,Traiteur,Photographe/Vidéo,Décorateur,Animation,Hôtel/Commercial,Autre"</formula1>
    </dataValidation>
    <dataValidation type="list" sqref="H5:H104" xr:uid="{00000000-0002-0000-0600-000001000000}">
      <formula1>"Conforme,À compléter,Non conforme,Non applicable"</formula1>
    </dataValidation>
    <dataValidation type="list" sqref="M5:M104" xr:uid="{00000000-0002-0000-0600-000002000000}">
      <formula1>"Actif,Suspendu,À renouveler,Résilié"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54"/>
  <sheetViews>
    <sheetView workbookViewId="0">
      <selection activeCell="D21" sqref="D21"/>
    </sheetView>
  </sheetViews>
  <sheetFormatPr baseColWidth="10" defaultColWidth="9" defaultRowHeight="14.25"/>
  <cols>
    <col min="1" max="1" width="16" customWidth="1"/>
    <col min="2" max="2" width="22" customWidth="1"/>
    <col min="3" max="3" width="24" customWidth="1"/>
    <col min="4" max="4" width="34" customWidth="1"/>
    <col min="5" max="6" width="18" customWidth="1"/>
    <col min="7" max="8" width="14" customWidth="1"/>
    <col min="9" max="9" width="15" customWidth="1"/>
    <col min="10" max="10" width="18" customWidth="1"/>
    <col min="11" max="11" width="22" customWidth="1"/>
    <col min="12" max="13" width="16" customWidth="1"/>
    <col min="14" max="16" width="18" customWidth="1"/>
    <col min="17" max="17" width="28" customWidth="1"/>
  </cols>
  <sheetData>
    <row r="1" spans="1:17" ht="27.95" customHeight="1">
      <c r="A1" s="13" t="s">
        <v>846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4" spans="1:17" ht="32.1" customHeight="1">
      <c r="A4" s="1" t="s">
        <v>847</v>
      </c>
      <c r="B4" s="1" t="s">
        <v>848</v>
      </c>
      <c r="C4" s="1" t="s">
        <v>849</v>
      </c>
      <c r="D4" s="1" t="s">
        <v>850</v>
      </c>
      <c r="E4" s="1" t="s">
        <v>851</v>
      </c>
      <c r="F4" s="1" t="s">
        <v>852</v>
      </c>
      <c r="G4" s="1" t="s">
        <v>853</v>
      </c>
      <c r="H4" s="1" t="s">
        <v>740</v>
      </c>
      <c r="I4" s="1" t="s">
        <v>71</v>
      </c>
      <c r="J4" s="1" t="s">
        <v>854</v>
      </c>
      <c r="K4" s="1" t="s">
        <v>855</v>
      </c>
      <c r="L4" s="1" t="s">
        <v>856</v>
      </c>
      <c r="M4" s="1" t="s">
        <v>857</v>
      </c>
      <c r="N4" s="1" t="s">
        <v>858</v>
      </c>
      <c r="O4" s="1" t="s">
        <v>859</v>
      </c>
      <c r="P4" s="1" t="s">
        <v>860</v>
      </c>
      <c r="Q4" s="1" t="s">
        <v>72</v>
      </c>
    </row>
    <row r="5" spans="1:17">
      <c r="A5" t="s">
        <v>861</v>
      </c>
      <c r="C5" t="s">
        <v>862</v>
      </c>
      <c r="D5" t="s">
        <v>863</v>
      </c>
      <c r="E5" s="5">
        <v>50000000</v>
      </c>
      <c r="F5" s="5"/>
      <c r="G5" s="3"/>
      <c r="H5" s="3"/>
      <c r="I5" t="s">
        <v>864</v>
      </c>
      <c r="M5" s="3"/>
      <c r="N5" s="5"/>
      <c r="O5" s="5"/>
      <c r="P5" s="5" t="str">
        <f t="shared" ref="P5:P36" si="0">IF(N5="","",N5-O5)</f>
        <v/>
      </c>
    </row>
    <row r="6" spans="1:17">
      <c r="A6" t="s">
        <v>865</v>
      </c>
      <c r="C6" t="s">
        <v>866</v>
      </c>
      <c r="D6" t="s">
        <v>867</v>
      </c>
      <c r="E6" s="5">
        <v>50000000</v>
      </c>
      <c r="F6" s="5"/>
      <c r="G6" s="3"/>
      <c r="H6" s="3"/>
      <c r="I6" t="s">
        <v>864</v>
      </c>
      <c r="M6" s="3"/>
      <c r="N6" s="5"/>
      <c r="O6" s="5"/>
      <c r="P6" s="5" t="str">
        <f t="shared" si="0"/>
        <v/>
      </c>
    </row>
    <row r="7" spans="1:17">
      <c r="A7" t="s">
        <v>868</v>
      </c>
      <c r="C7" t="s">
        <v>869</v>
      </c>
      <c r="D7" t="s">
        <v>870</v>
      </c>
      <c r="E7" s="5"/>
      <c r="F7" s="5"/>
      <c r="G7" s="3"/>
      <c r="H7" s="3"/>
      <c r="I7" t="s">
        <v>864</v>
      </c>
      <c r="M7" s="3"/>
      <c r="N7" s="5"/>
      <c r="O7" s="5"/>
      <c r="P7" s="5" t="str">
        <f t="shared" si="0"/>
        <v/>
      </c>
    </row>
    <row r="8" spans="1:17">
      <c r="A8" t="s">
        <v>871</v>
      </c>
      <c r="C8" t="s">
        <v>872</v>
      </c>
      <c r="D8" t="s">
        <v>873</v>
      </c>
      <c r="E8" s="5">
        <v>12000000</v>
      </c>
      <c r="F8" s="5"/>
      <c r="G8" s="3"/>
      <c r="H8" s="3"/>
      <c r="I8" t="s">
        <v>864</v>
      </c>
      <c r="M8" s="3"/>
      <c r="N8" s="5"/>
      <c r="O8" s="5"/>
      <c r="P8" s="5" t="str">
        <f t="shared" si="0"/>
        <v/>
      </c>
    </row>
    <row r="9" spans="1:17">
      <c r="A9" t="s">
        <v>874</v>
      </c>
      <c r="C9" t="s">
        <v>875</v>
      </c>
      <c r="D9" t="s">
        <v>876</v>
      </c>
      <c r="E9" s="5"/>
      <c r="F9" s="5"/>
      <c r="G9" s="3"/>
      <c r="H9" s="3"/>
      <c r="I9" t="s">
        <v>877</v>
      </c>
      <c r="M9" s="3"/>
      <c r="N9" s="5"/>
      <c r="O9" s="5"/>
      <c r="P9" s="5" t="str">
        <f t="shared" si="0"/>
        <v/>
      </c>
    </row>
    <row r="10" spans="1:17">
      <c r="A10" t="s">
        <v>878</v>
      </c>
      <c r="E10" s="5"/>
      <c r="F10" s="5"/>
      <c r="G10" s="3"/>
      <c r="H10" s="3"/>
      <c r="M10" s="3"/>
      <c r="N10" s="5"/>
      <c r="O10" s="5"/>
      <c r="P10" s="5" t="str">
        <f t="shared" si="0"/>
        <v/>
      </c>
    </row>
    <row r="11" spans="1:17">
      <c r="A11" t="s">
        <v>879</v>
      </c>
      <c r="E11" s="5"/>
      <c r="F11" s="5"/>
      <c r="G11" s="3"/>
      <c r="H11" s="3"/>
      <c r="M11" s="3"/>
      <c r="N11" s="5"/>
      <c r="O11" s="5"/>
      <c r="P11" s="5" t="str">
        <f t="shared" si="0"/>
        <v/>
      </c>
    </row>
    <row r="12" spans="1:17">
      <c r="A12" t="s">
        <v>880</v>
      </c>
      <c r="E12" s="5"/>
      <c r="F12" s="5"/>
      <c r="G12" s="3"/>
      <c r="H12" s="3"/>
      <c r="M12" s="3"/>
      <c r="N12" s="5"/>
      <c r="O12" s="5"/>
      <c r="P12" s="5" t="str">
        <f t="shared" si="0"/>
        <v/>
      </c>
    </row>
    <row r="13" spans="1:17">
      <c r="A13" t="s">
        <v>881</v>
      </c>
      <c r="E13" s="5"/>
      <c r="F13" s="5"/>
      <c r="G13" s="3"/>
      <c r="H13" s="3"/>
      <c r="M13" s="3"/>
      <c r="N13" s="5"/>
      <c r="O13" s="5"/>
      <c r="P13" s="5" t="str">
        <f t="shared" si="0"/>
        <v/>
      </c>
    </row>
    <row r="14" spans="1:17">
      <c r="A14" t="s">
        <v>882</v>
      </c>
      <c r="E14" s="5"/>
      <c r="F14" s="5"/>
      <c r="G14" s="3"/>
      <c r="H14" s="3"/>
      <c r="M14" s="3"/>
      <c r="N14" s="5"/>
      <c r="O14" s="5"/>
      <c r="P14" s="5" t="str">
        <f t="shared" si="0"/>
        <v/>
      </c>
    </row>
    <row r="15" spans="1:17">
      <c r="A15" t="s">
        <v>883</v>
      </c>
      <c r="E15" s="5"/>
      <c r="F15" s="5"/>
      <c r="G15" s="3"/>
      <c r="H15" s="3"/>
      <c r="M15" s="3"/>
      <c r="N15" s="5"/>
      <c r="O15" s="5"/>
      <c r="P15" s="5" t="str">
        <f t="shared" si="0"/>
        <v/>
      </c>
    </row>
    <row r="16" spans="1:17">
      <c r="A16" t="s">
        <v>884</v>
      </c>
      <c r="E16" s="5"/>
      <c r="F16" s="5"/>
      <c r="G16" s="3"/>
      <c r="H16" s="3"/>
      <c r="M16" s="3"/>
      <c r="N16" s="5"/>
      <c r="O16" s="5"/>
      <c r="P16" s="5" t="str">
        <f t="shared" si="0"/>
        <v/>
      </c>
    </row>
    <row r="17" spans="1:16">
      <c r="A17" t="s">
        <v>885</v>
      </c>
      <c r="E17" s="5"/>
      <c r="F17" s="5"/>
      <c r="G17" s="3"/>
      <c r="H17" s="3"/>
      <c r="M17" s="3"/>
      <c r="N17" s="5"/>
      <c r="O17" s="5"/>
      <c r="P17" s="5" t="str">
        <f t="shared" si="0"/>
        <v/>
      </c>
    </row>
    <row r="18" spans="1:16">
      <c r="A18" t="s">
        <v>886</v>
      </c>
      <c r="E18" s="5"/>
      <c r="F18" s="5"/>
      <c r="G18" s="3"/>
      <c r="H18" s="3"/>
      <c r="M18" s="3"/>
      <c r="N18" s="5"/>
      <c r="O18" s="5"/>
      <c r="P18" s="5" t="str">
        <f t="shared" si="0"/>
        <v/>
      </c>
    </row>
    <row r="19" spans="1:16">
      <c r="A19" t="s">
        <v>887</v>
      </c>
      <c r="E19" s="5"/>
      <c r="F19" s="5"/>
      <c r="G19" s="3"/>
      <c r="H19" s="3"/>
      <c r="M19" s="3"/>
      <c r="N19" s="5"/>
      <c r="O19" s="5"/>
      <c r="P19" s="5" t="str">
        <f t="shared" si="0"/>
        <v/>
      </c>
    </row>
    <row r="20" spans="1:16">
      <c r="A20" t="s">
        <v>888</v>
      </c>
      <c r="E20" s="5"/>
      <c r="F20" s="5"/>
      <c r="G20" s="3"/>
      <c r="H20" s="3"/>
      <c r="M20" s="3"/>
      <c r="N20" s="5"/>
      <c r="O20" s="5"/>
      <c r="P20" s="5" t="str">
        <f t="shared" si="0"/>
        <v/>
      </c>
    </row>
    <row r="21" spans="1:16">
      <c r="A21" t="s">
        <v>889</v>
      </c>
      <c r="E21" s="5"/>
      <c r="F21" s="5"/>
      <c r="G21" s="3"/>
      <c r="H21" s="3"/>
      <c r="M21" s="3"/>
      <c r="N21" s="5"/>
      <c r="O21" s="5"/>
      <c r="P21" s="5" t="str">
        <f t="shared" si="0"/>
        <v/>
      </c>
    </row>
    <row r="22" spans="1:16">
      <c r="A22" t="s">
        <v>890</v>
      </c>
      <c r="E22" s="5"/>
      <c r="F22" s="5"/>
      <c r="G22" s="3"/>
      <c r="H22" s="3"/>
      <c r="M22" s="3"/>
      <c r="N22" s="5"/>
      <c r="O22" s="5"/>
      <c r="P22" s="5" t="str">
        <f t="shared" si="0"/>
        <v/>
      </c>
    </row>
    <row r="23" spans="1:16">
      <c r="A23" t="s">
        <v>891</v>
      </c>
      <c r="E23" s="5"/>
      <c r="F23" s="5"/>
      <c r="G23" s="3"/>
      <c r="H23" s="3"/>
      <c r="M23" s="3"/>
      <c r="N23" s="5"/>
      <c r="O23" s="5"/>
      <c r="P23" s="5" t="str">
        <f t="shared" si="0"/>
        <v/>
      </c>
    </row>
    <row r="24" spans="1:16">
      <c r="A24" t="s">
        <v>892</v>
      </c>
      <c r="E24" s="5"/>
      <c r="F24" s="5"/>
      <c r="G24" s="3"/>
      <c r="H24" s="3"/>
      <c r="M24" s="3"/>
      <c r="N24" s="5"/>
      <c r="O24" s="5"/>
      <c r="P24" s="5" t="str">
        <f t="shared" si="0"/>
        <v/>
      </c>
    </row>
    <row r="25" spans="1:16">
      <c r="A25" t="s">
        <v>893</v>
      </c>
      <c r="E25" s="5"/>
      <c r="F25" s="5"/>
      <c r="G25" s="3"/>
      <c r="H25" s="3"/>
      <c r="M25" s="3"/>
      <c r="N25" s="5"/>
      <c r="O25" s="5"/>
      <c r="P25" s="5" t="str">
        <f t="shared" si="0"/>
        <v/>
      </c>
    </row>
    <row r="26" spans="1:16">
      <c r="A26" t="s">
        <v>894</v>
      </c>
      <c r="E26" s="5"/>
      <c r="F26" s="5"/>
      <c r="G26" s="3"/>
      <c r="H26" s="3"/>
      <c r="M26" s="3"/>
      <c r="N26" s="5"/>
      <c r="O26" s="5"/>
      <c r="P26" s="5" t="str">
        <f t="shared" si="0"/>
        <v/>
      </c>
    </row>
    <row r="27" spans="1:16">
      <c r="A27" t="s">
        <v>895</v>
      </c>
      <c r="E27" s="5"/>
      <c r="F27" s="5"/>
      <c r="G27" s="3"/>
      <c r="H27" s="3"/>
      <c r="M27" s="3"/>
      <c r="N27" s="5"/>
      <c r="O27" s="5"/>
      <c r="P27" s="5" t="str">
        <f t="shared" si="0"/>
        <v/>
      </c>
    </row>
    <row r="28" spans="1:16">
      <c r="A28" t="s">
        <v>896</v>
      </c>
      <c r="E28" s="5"/>
      <c r="F28" s="5"/>
      <c r="G28" s="3"/>
      <c r="H28" s="3"/>
      <c r="M28" s="3"/>
      <c r="N28" s="5"/>
      <c r="O28" s="5"/>
      <c r="P28" s="5" t="str">
        <f t="shared" si="0"/>
        <v/>
      </c>
    </row>
    <row r="29" spans="1:16">
      <c r="A29" t="s">
        <v>897</v>
      </c>
      <c r="E29" s="5"/>
      <c r="F29" s="5"/>
      <c r="G29" s="3"/>
      <c r="H29" s="3"/>
      <c r="M29" s="3"/>
      <c r="N29" s="5"/>
      <c r="O29" s="5"/>
      <c r="P29" s="5" t="str">
        <f t="shared" si="0"/>
        <v/>
      </c>
    </row>
    <row r="30" spans="1:16">
      <c r="A30" t="s">
        <v>898</v>
      </c>
      <c r="E30" s="5"/>
      <c r="F30" s="5"/>
      <c r="G30" s="3"/>
      <c r="H30" s="3"/>
      <c r="M30" s="3"/>
      <c r="N30" s="5"/>
      <c r="O30" s="5"/>
      <c r="P30" s="5" t="str">
        <f t="shared" si="0"/>
        <v/>
      </c>
    </row>
    <row r="31" spans="1:16">
      <c r="A31" t="s">
        <v>899</v>
      </c>
      <c r="E31" s="5"/>
      <c r="F31" s="5"/>
      <c r="G31" s="3"/>
      <c r="H31" s="3"/>
      <c r="M31" s="3"/>
      <c r="N31" s="5"/>
      <c r="O31" s="5"/>
      <c r="P31" s="5" t="str">
        <f t="shared" si="0"/>
        <v/>
      </c>
    </row>
    <row r="32" spans="1:16">
      <c r="A32" t="s">
        <v>900</v>
      </c>
      <c r="E32" s="5"/>
      <c r="F32" s="5"/>
      <c r="G32" s="3"/>
      <c r="H32" s="3"/>
      <c r="M32" s="3"/>
      <c r="N32" s="5"/>
      <c r="O32" s="5"/>
      <c r="P32" s="5" t="str">
        <f t="shared" si="0"/>
        <v/>
      </c>
    </row>
    <row r="33" spans="1:16">
      <c r="A33" t="s">
        <v>901</v>
      </c>
      <c r="E33" s="5"/>
      <c r="F33" s="5"/>
      <c r="G33" s="3"/>
      <c r="H33" s="3"/>
      <c r="M33" s="3"/>
      <c r="N33" s="5"/>
      <c r="O33" s="5"/>
      <c r="P33" s="5" t="str">
        <f t="shared" si="0"/>
        <v/>
      </c>
    </row>
    <row r="34" spans="1:16">
      <c r="A34" t="s">
        <v>902</v>
      </c>
      <c r="E34" s="5"/>
      <c r="F34" s="5"/>
      <c r="G34" s="3"/>
      <c r="H34" s="3"/>
      <c r="M34" s="3"/>
      <c r="N34" s="5"/>
      <c r="O34" s="5"/>
      <c r="P34" s="5" t="str">
        <f t="shared" si="0"/>
        <v/>
      </c>
    </row>
    <row r="35" spans="1:16">
      <c r="A35" t="s">
        <v>903</v>
      </c>
      <c r="E35" s="5"/>
      <c r="F35" s="5"/>
      <c r="G35" s="3"/>
      <c r="H35" s="3"/>
      <c r="M35" s="3"/>
      <c r="N35" s="5"/>
      <c r="O35" s="5"/>
      <c r="P35" s="5" t="str">
        <f t="shared" si="0"/>
        <v/>
      </c>
    </row>
    <row r="36" spans="1:16">
      <c r="A36" t="s">
        <v>904</v>
      </c>
      <c r="E36" s="5"/>
      <c r="F36" s="5"/>
      <c r="G36" s="3"/>
      <c r="H36" s="3"/>
      <c r="M36" s="3"/>
      <c r="N36" s="5"/>
      <c r="O36" s="5"/>
      <c r="P36" s="5" t="str">
        <f t="shared" si="0"/>
        <v/>
      </c>
    </row>
    <row r="37" spans="1:16">
      <c r="A37" t="s">
        <v>905</v>
      </c>
      <c r="E37" s="5"/>
      <c r="F37" s="5"/>
      <c r="G37" s="3"/>
      <c r="H37" s="3"/>
      <c r="M37" s="3"/>
      <c r="N37" s="5"/>
      <c r="O37" s="5"/>
      <c r="P37" s="5" t="str">
        <f t="shared" ref="P37:P54" si="1">IF(N37="","",N37-O37)</f>
        <v/>
      </c>
    </row>
    <row r="38" spans="1:16">
      <c r="A38" t="s">
        <v>906</v>
      </c>
      <c r="E38" s="5"/>
      <c r="F38" s="5"/>
      <c r="G38" s="3"/>
      <c r="H38" s="3"/>
      <c r="M38" s="3"/>
      <c r="N38" s="5"/>
      <c r="O38" s="5"/>
      <c r="P38" s="5" t="str">
        <f t="shared" si="1"/>
        <v/>
      </c>
    </row>
    <row r="39" spans="1:16">
      <c r="A39" t="s">
        <v>907</v>
      </c>
      <c r="E39" s="5"/>
      <c r="F39" s="5"/>
      <c r="G39" s="3"/>
      <c r="H39" s="3"/>
      <c r="M39" s="3"/>
      <c r="N39" s="5"/>
      <c r="O39" s="5"/>
      <c r="P39" s="5" t="str">
        <f t="shared" si="1"/>
        <v/>
      </c>
    </row>
    <row r="40" spans="1:16">
      <c r="A40" t="s">
        <v>908</v>
      </c>
      <c r="E40" s="5"/>
      <c r="F40" s="5"/>
      <c r="G40" s="3"/>
      <c r="H40" s="3"/>
      <c r="M40" s="3"/>
      <c r="N40" s="5"/>
      <c r="O40" s="5"/>
      <c r="P40" s="5" t="str">
        <f t="shared" si="1"/>
        <v/>
      </c>
    </row>
    <row r="41" spans="1:16">
      <c r="A41" t="s">
        <v>909</v>
      </c>
      <c r="E41" s="5"/>
      <c r="F41" s="5"/>
      <c r="G41" s="3"/>
      <c r="H41" s="3"/>
      <c r="M41" s="3"/>
      <c r="N41" s="5"/>
      <c r="O41" s="5"/>
      <c r="P41" s="5" t="str">
        <f t="shared" si="1"/>
        <v/>
      </c>
    </row>
    <row r="42" spans="1:16">
      <c r="A42" t="s">
        <v>910</v>
      </c>
      <c r="E42" s="5"/>
      <c r="F42" s="5"/>
      <c r="G42" s="3"/>
      <c r="H42" s="3"/>
      <c r="M42" s="3"/>
      <c r="N42" s="5"/>
      <c r="O42" s="5"/>
      <c r="P42" s="5" t="str">
        <f t="shared" si="1"/>
        <v/>
      </c>
    </row>
    <row r="43" spans="1:16">
      <c r="A43" t="s">
        <v>911</v>
      </c>
      <c r="E43" s="5"/>
      <c r="F43" s="5"/>
      <c r="G43" s="3"/>
      <c r="H43" s="3"/>
      <c r="M43" s="3"/>
      <c r="N43" s="5"/>
      <c r="O43" s="5"/>
      <c r="P43" s="5" t="str">
        <f t="shared" si="1"/>
        <v/>
      </c>
    </row>
    <row r="44" spans="1:16">
      <c r="A44" t="s">
        <v>912</v>
      </c>
      <c r="E44" s="5"/>
      <c r="F44" s="5"/>
      <c r="G44" s="3"/>
      <c r="H44" s="3"/>
      <c r="M44" s="3"/>
      <c r="N44" s="5"/>
      <c r="O44" s="5"/>
      <c r="P44" s="5" t="str">
        <f t="shared" si="1"/>
        <v/>
      </c>
    </row>
    <row r="45" spans="1:16">
      <c r="A45" t="s">
        <v>913</v>
      </c>
      <c r="E45" s="5"/>
      <c r="F45" s="5"/>
      <c r="G45" s="3"/>
      <c r="H45" s="3"/>
      <c r="M45" s="3"/>
      <c r="N45" s="5"/>
      <c r="O45" s="5"/>
      <c r="P45" s="5" t="str">
        <f t="shared" si="1"/>
        <v/>
      </c>
    </row>
    <row r="46" spans="1:16">
      <c r="A46" t="s">
        <v>914</v>
      </c>
      <c r="E46" s="5"/>
      <c r="F46" s="5"/>
      <c r="G46" s="3"/>
      <c r="H46" s="3"/>
      <c r="M46" s="3"/>
      <c r="N46" s="5"/>
      <c r="O46" s="5"/>
      <c r="P46" s="5" t="str">
        <f t="shared" si="1"/>
        <v/>
      </c>
    </row>
    <row r="47" spans="1:16">
      <c r="A47" t="s">
        <v>915</v>
      </c>
      <c r="E47" s="5"/>
      <c r="F47" s="5"/>
      <c r="G47" s="3"/>
      <c r="H47" s="3"/>
      <c r="M47" s="3"/>
      <c r="N47" s="5"/>
      <c r="O47" s="5"/>
      <c r="P47" s="5" t="str">
        <f t="shared" si="1"/>
        <v/>
      </c>
    </row>
    <row r="48" spans="1:16">
      <c r="A48" t="s">
        <v>916</v>
      </c>
      <c r="E48" s="5"/>
      <c r="F48" s="5"/>
      <c r="G48" s="3"/>
      <c r="H48" s="3"/>
      <c r="M48" s="3"/>
      <c r="N48" s="5"/>
      <c r="O48" s="5"/>
      <c r="P48" s="5" t="str">
        <f t="shared" si="1"/>
        <v/>
      </c>
    </row>
    <row r="49" spans="1:16">
      <c r="A49" t="s">
        <v>917</v>
      </c>
      <c r="E49" s="5"/>
      <c r="F49" s="5"/>
      <c r="G49" s="3"/>
      <c r="H49" s="3"/>
      <c r="M49" s="3"/>
      <c r="N49" s="5"/>
      <c r="O49" s="5"/>
      <c r="P49" s="5" t="str">
        <f t="shared" si="1"/>
        <v/>
      </c>
    </row>
    <row r="50" spans="1:16">
      <c r="A50" t="s">
        <v>918</v>
      </c>
      <c r="E50" s="5"/>
      <c r="F50" s="5"/>
      <c r="G50" s="3"/>
      <c r="H50" s="3"/>
      <c r="M50" s="3"/>
      <c r="N50" s="5"/>
      <c r="O50" s="5"/>
      <c r="P50" s="5" t="str">
        <f t="shared" si="1"/>
        <v/>
      </c>
    </row>
    <row r="51" spans="1:16">
      <c r="A51" t="s">
        <v>919</v>
      </c>
      <c r="E51" s="5"/>
      <c r="F51" s="5"/>
      <c r="G51" s="3"/>
      <c r="H51" s="3"/>
      <c r="M51" s="3"/>
      <c r="N51" s="5"/>
      <c r="O51" s="5"/>
      <c r="P51" s="5" t="str">
        <f t="shared" si="1"/>
        <v/>
      </c>
    </row>
    <row r="52" spans="1:16">
      <c r="A52" t="s">
        <v>920</v>
      </c>
      <c r="E52" s="5"/>
      <c r="F52" s="5"/>
      <c r="G52" s="3"/>
      <c r="H52" s="3"/>
      <c r="M52" s="3"/>
      <c r="N52" s="5"/>
      <c r="O52" s="5"/>
      <c r="P52" s="5" t="str">
        <f t="shared" si="1"/>
        <v/>
      </c>
    </row>
    <row r="53" spans="1:16">
      <c r="A53" t="s">
        <v>921</v>
      </c>
      <c r="E53" s="5"/>
      <c r="F53" s="5"/>
      <c r="G53" s="3"/>
      <c r="H53" s="3"/>
      <c r="M53" s="3"/>
      <c r="N53" s="5"/>
      <c r="O53" s="5"/>
      <c r="P53" s="5" t="str">
        <f t="shared" si="1"/>
        <v/>
      </c>
    </row>
    <row r="54" spans="1:16">
      <c r="A54" t="s">
        <v>922</v>
      </c>
      <c r="E54" s="5"/>
      <c r="F54" s="5"/>
      <c r="G54" s="3"/>
      <c r="H54" s="3"/>
      <c r="M54" s="3"/>
      <c r="N54" s="5"/>
      <c r="O54" s="5"/>
      <c r="P54" s="5" t="str">
        <f t="shared" si="1"/>
        <v/>
      </c>
    </row>
  </sheetData>
  <mergeCells count="2">
    <mergeCell ref="A1:Q1"/>
    <mergeCell ref="A2:Q2"/>
  </mergeCells>
  <dataValidations count="2">
    <dataValidation type="list" sqref="C5:C54" xr:uid="{00000000-0002-0000-0700-000000000000}">
      <formula1>"RC Professionnelle,Assurance Passagers,Assurance Événementielle,Assurance Matériel,Cyber-risque,Assurance bateau partenaire,Autre"</formula1>
    </dataValidation>
    <dataValidation type="list" sqref="I5:I54" xr:uid="{00000000-0002-0000-0700-000001000000}">
      <formula1>"À souscrire,Active,Expirée,Suspendue,Optionnelle"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2000000}">
          <x14:formula1>
            <xm:f>Paramètres!$H$14:$H$15</xm:f>
          </x14:formula1>
          <xm:sqref>J5:J54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workbookViewId="0">
      <selection activeCell="B10" sqref="B10"/>
    </sheetView>
  </sheetViews>
  <sheetFormatPr baseColWidth="10" defaultColWidth="9" defaultRowHeight="14.25"/>
  <cols>
    <col min="1" max="1" width="28.875" bestFit="1" customWidth="1"/>
    <col min="2" max="2" width="8.875" bestFit="1" customWidth="1"/>
    <col min="3" max="3" width="14.125" customWidth="1"/>
    <col min="4" max="4" width="13.625" customWidth="1"/>
    <col min="5" max="13" width="12" customWidth="1"/>
    <col min="14" max="14" width="18" customWidth="1"/>
  </cols>
  <sheetData>
    <row r="1" spans="1:14" ht="27.95" customHeight="1">
      <c r="A1" s="13" t="s">
        <v>923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ht="32.1" customHeight="1">
      <c r="A4" s="1" t="s">
        <v>924</v>
      </c>
      <c r="B4" s="1" t="s">
        <v>925</v>
      </c>
      <c r="C4" s="1" t="s">
        <v>926</v>
      </c>
      <c r="D4" s="1" t="s">
        <v>927</v>
      </c>
      <c r="E4" s="1" t="s">
        <v>928</v>
      </c>
      <c r="F4" s="1" t="s">
        <v>929</v>
      </c>
      <c r="G4" s="1" t="s">
        <v>930</v>
      </c>
      <c r="H4" s="1" t="s">
        <v>931</v>
      </c>
      <c r="I4" s="1" t="s">
        <v>932</v>
      </c>
      <c r="J4" s="1" t="s">
        <v>933</v>
      </c>
      <c r="K4" s="1" t="s">
        <v>934</v>
      </c>
      <c r="L4" s="1" t="s">
        <v>935</v>
      </c>
      <c r="M4" s="1" t="s">
        <v>936</v>
      </c>
      <c r="N4" s="1" t="s">
        <v>937</v>
      </c>
    </row>
    <row r="5" spans="1:14">
      <c r="A5" t="s">
        <v>938</v>
      </c>
      <c r="B5">
        <f>COUNTIFS(Réservations!$H:$H,"&gt;="&amp;DATE(YEAR(Paramètres!$B$7),1,1),Réservations!$H:$H,"&lt;"&amp;EDATE(DATE(YEAR(Paramètres!$B$7),1,1),1))</f>
        <v>0</v>
      </c>
      <c r="C5">
        <f>COUNTIFS(Réservations!$H:$H,"&gt;="&amp;DATE(YEAR(Paramètres!$B$7),2,1),Réservations!$H:$H,"&lt;"&amp;EDATE(DATE(YEAR(Paramètres!$B$7),2,1),1))</f>
        <v>0</v>
      </c>
      <c r="D5">
        <f>COUNTIFS(Réservations!$H:$H,"&gt;="&amp;DATE(YEAR(Paramètres!$B$7),3,1),Réservations!$H:$H,"&lt;"&amp;EDATE(DATE(YEAR(Paramètres!$B$7),3,1),1))</f>
        <v>0</v>
      </c>
      <c r="E5">
        <f>COUNTIFS(Réservations!$H:$H,"&gt;="&amp;DATE(YEAR(Paramètres!$B$7),4,1),Réservations!$H:$H,"&lt;"&amp;EDATE(DATE(YEAR(Paramètres!$B$7),4,1),1))</f>
        <v>0</v>
      </c>
      <c r="F5">
        <f>COUNTIFS(Réservations!$H:$H,"&gt;="&amp;DATE(YEAR(Paramètres!$B$7),5,1),Réservations!$H:$H,"&lt;"&amp;EDATE(DATE(YEAR(Paramètres!$B$7),5,1),1))</f>
        <v>0</v>
      </c>
      <c r="G5">
        <f>COUNTIFS(Réservations!$H:$H,"&gt;="&amp;DATE(YEAR(Paramètres!$B$7),6,1),Réservations!$H:$H,"&lt;"&amp;EDATE(DATE(YEAR(Paramètres!$B$7),6,1),1))</f>
        <v>0</v>
      </c>
      <c r="H5">
        <f>COUNTIFS(Réservations!$H:$H,"&gt;="&amp;DATE(YEAR(Paramètres!$B$7),7,1),Réservations!$H:$H,"&lt;"&amp;EDATE(DATE(YEAR(Paramètres!$B$7),7,1),1))</f>
        <v>0</v>
      </c>
      <c r="I5">
        <f>COUNTIFS(Réservations!$H:$H,"&gt;="&amp;DATE(YEAR(Paramètres!$B$7),8,1),Réservations!$H:$H,"&lt;"&amp;EDATE(DATE(YEAR(Paramètres!$B$7),8,1),1))</f>
        <v>0</v>
      </c>
      <c r="J5">
        <f>COUNTIFS(Réservations!$H:$H,"&gt;="&amp;DATE(YEAR(Paramètres!$B$7),9,1),Réservations!$H:$H,"&lt;"&amp;EDATE(DATE(YEAR(Paramètres!$B$7),9,1),1))</f>
        <v>0</v>
      </c>
      <c r="K5">
        <f>COUNTIFS(Réservations!$H:$H,"&gt;="&amp;DATE(YEAR(Paramètres!$B$7),10,1),Réservations!$H:$H,"&lt;"&amp;EDATE(DATE(YEAR(Paramètres!$B$7),10,1),1))</f>
        <v>0</v>
      </c>
      <c r="L5">
        <f>COUNTIFS(Réservations!$H:$H,"&gt;="&amp;DATE(YEAR(Paramètres!$B$7),11,1),Réservations!$H:$H,"&lt;"&amp;EDATE(DATE(YEAR(Paramètres!$B$7),11,1),1))</f>
        <v>0</v>
      </c>
      <c r="M5">
        <f>COUNTIFS(Réservations!$H:$H,"&gt;="&amp;DATE(YEAR(Paramètres!$B$7),12,1),Réservations!$H:$H,"&lt;"&amp;EDATE(DATE(YEAR(Paramètres!$B$7),12,1),1))</f>
        <v>0</v>
      </c>
      <c r="N5">
        <f t="shared" ref="N5:N14" si="0">SUM(B5:M5)</f>
        <v>0</v>
      </c>
    </row>
    <row r="6" spans="1:14">
      <c r="A6" t="s">
        <v>939</v>
      </c>
      <c r="B6">
        <f>COUNTIFS(Réservations!$H:$H,"&gt;="&amp;DATE(YEAR(Paramètres!$B$7),1,1),Réservations!$H:$H,"&lt;"&amp;EDATE(DATE(YEAR(Paramètres!$B$7),1,1),1),Réservations!$Q:$Q,"Réalisée")</f>
        <v>0</v>
      </c>
      <c r="C6">
        <f>COUNTIFS(Réservations!$H:$H,"&gt;="&amp;DATE(YEAR(Paramètres!$B$7),2,1),Réservations!$H:$H,"&lt;"&amp;EDATE(DATE(YEAR(Paramètres!$B$7),2,1),1),Réservations!$Q:$Q,"Réalisée")</f>
        <v>0</v>
      </c>
      <c r="D6">
        <f>COUNTIFS(Réservations!$H:$H,"&gt;="&amp;DATE(YEAR(Paramètres!$B$7),3,1),Réservations!$H:$H,"&lt;"&amp;EDATE(DATE(YEAR(Paramètres!$B$7),3,1),1),Réservations!$Q:$Q,"Réalisée")</f>
        <v>0</v>
      </c>
      <c r="E6">
        <f>COUNTIFS(Réservations!$H:$H,"&gt;="&amp;DATE(YEAR(Paramètres!$B$7),4,1),Réservations!$H:$H,"&lt;"&amp;EDATE(DATE(YEAR(Paramètres!$B$7),4,1),1),Réservations!$Q:$Q,"Réalisée")</f>
        <v>0</v>
      </c>
      <c r="F6">
        <f>COUNTIFS(Réservations!$H:$H,"&gt;="&amp;DATE(YEAR(Paramètres!$B$7),5,1),Réservations!$H:$H,"&lt;"&amp;EDATE(DATE(YEAR(Paramètres!$B$7),5,1),1),Réservations!$Q:$Q,"Réalisée")</f>
        <v>0</v>
      </c>
      <c r="G6">
        <f>COUNTIFS(Réservations!$H:$H,"&gt;="&amp;DATE(YEAR(Paramètres!$B$7),6,1),Réservations!$H:$H,"&lt;"&amp;EDATE(DATE(YEAR(Paramètres!$B$7),6,1),1),Réservations!$Q:$Q,"Réalisée")</f>
        <v>0</v>
      </c>
      <c r="H6">
        <f>COUNTIFS(Réservations!$H:$H,"&gt;="&amp;DATE(YEAR(Paramètres!$B$7),7,1),Réservations!$H:$H,"&lt;"&amp;EDATE(DATE(YEAR(Paramètres!$B$7),7,1),1),Réservations!$Q:$Q,"Réalisée")</f>
        <v>0</v>
      </c>
      <c r="I6">
        <f>COUNTIFS(Réservations!$H:$H,"&gt;="&amp;DATE(YEAR(Paramètres!$B$7),8,1),Réservations!$H:$H,"&lt;"&amp;EDATE(DATE(YEAR(Paramètres!$B$7),8,1),1),Réservations!$Q:$Q,"Réalisée")</f>
        <v>0</v>
      </c>
      <c r="J6">
        <f>COUNTIFS(Réservations!$H:$H,"&gt;="&amp;DATE(YEAR(Paramètres!$B$7),9,1),Réservations!$H:$H,"&lt;"&amp;EDATE(DATE(YEAR(Paramètres!$B$7),9,1),1),Réservations!$Q:$Q,"Réalisée")</f>
        <v>0</v>
      </c>
      <c r="K6">
        <f>COUNTIFS(Réservations!$H:$H,"&gt;="&amp;DATE(YEAR(Paramètres!$B$7),10,1),Réservations!$H:$H,"&lt;"&amp;EDATE(DATE(YEAR(Paramètres!$B$7),10,1),1),Réservations!$Q:$Q,"Réalisée")</f>
        <v>0</v>
      </c>
      <c r="L6">
        <f>COUNTIFS(Réservations!$H:$H,"&gt;="&amp;DATE(YEAR(Paramètres!$B$7),11,1),Réservations!$H:$H,"&lt;"&amp;EDATE(DATE(YEAR(Paramètres!$B$7),11,1),1),Réservations!$Q:$Q,"Réalisée")</f>
        <v>0</v>
      </c>
      <c r="M6">
        <f>COUNTIFS(Réservations!$H:$H,"&gt;="&amp;DATE(YEAR(Paramètres!$B$7),12,1),Réservations!$H:$H,"&lt;"&amp;EDATE(DATE(YEAR(Paramètres!$B$7),12,1),1),Réservations!$Q:$Q,"Réalisée")</f>
        <v>0</v>
      </c>
      <c r="N6">
        <f t="shared" si="0"/>
        <v>0</v>
      </c>
    </row>
    <row r="7" spans="1:14">
      <c r="A7" t="s">
        <v>940</v>
      </c>
      <c r="B7" s="5">
        <f>SUMIFS(Paiements!$I:$I,Paiements!$B:$B,"&gt;="&amp;DATE(YEAR(Paramètres!$B$7),1,1),Paiements!$B:$B,"&lt;"&amp;EDATE(DATE(YEAR(Paramètres!$B$7),1,1),1))</f>
        <v>0</v>
      </c>
      <c r="C7" s="5">
        <f>SUMIFS(Paiements!$I:$I,Paiements!$B:$B,"&gt;="&amp;DATE(YEAR(Paramètres!$B$7),2,1),Paiements!$B:$B,"&lt;"&amp;EDATE(DATE(YEAR(Paramètres!$B$7),2,1),1))</f>
        <v>0</v>
      </c>
      <c r="D7" s="5">
        <f>SUMIFS(Paiements!$I:$I,Paiements!$B:$B,"&gt;="&amp;DATE(YEAR(Paramètres!$B$7),3,1),Paiements!$B:$B,"&lt;"&amp;EDATE(DATE(YEAR(Paramètres!$B$7),3,1),1))</f>
        <v>0</v>
      </c>
      <c r="E7" s="5">
        <f>SUMIFS(Paiements!$I:$I,Paiements!$B:$B,"&gt;="&amp;DATE(YEAR(Paramètres!$B$7),4,1),Paiements!$B:$B,"&lt;"&amp;EDATE(DATE(YEAR(Paramètres!$B$7),4,1),1))</f>
        <v>0</v>
      </c>
      <c r="F7" s="5">
        <f>SUMIFS(Paiements!$I:$I,Paiements!$B:$B,"&gt;="&amp;DATE(YEAR(Paramètres!$B$7),5,1),Paiements!$B:$B,"&lt;"&amp;EDATE(DATE(YEAR(Paramètres!$B$7),5,1),1))</f>
        <v>0</v>
      </c>
      <c r="G7" s="5">
        <f>SUMIFS(Paiements!$I:$I,Paiements!$B:$B,"&gt;="&amp;DATE(YEAR(Paramètres!$B$7),6,1),Paiements!$B:$B,"&lt;"&amp;EDATE(DATE(YEAR(Paramètres!$B$7),6,1),1))</f>
        <v>0</v>
      </c>
      <c r="H7" s="5">
        <f>SUMIFS(Paiements!$I:$I,Paiements!$B:$B,"&gt;="&amp;DATE(YEAR(Paramètres!$B$7),7,1),Paiements!$B:$B,"&lt;"&amp;EDATE(DATE(YEAR(Paramètres!$B$7),7,1),1))</f>
        <v>0</v>
      </c>
      <c r="I7" s="5">
        <f>SUMIFS(Paiements!$I:$I,Paiements!$B:$B,"&gt;="&amp;DATE(YEAR(Paramètres!$B$7),8,1),Paiements!$B:$B,"&lt;"&amp;EDATE(DATE(YEAR(Paramètres!$B$7),8,1),1))</f>
        <v>0</v>
      </c>
      <c r="J7" s="5">
        <f>SUMIFS(Paiements!$I:$I,Paiements!$B:$B,"&gt;="&amp;DATE(YEAR(Paramètres!$B$7),9,1),Paiements!$B:$B,"&lt;"&amp;EDATE(DATE(YEAR(Paramètres!$B$7),9,1),1))</f>
        <v>0</v>
      </c>
      <c r="K7" s="5">
        <f>SUMIFS(Paiements!$I:$I,Paiements!$B:$B,"&gt;="&amp;DATE(YEAR(Paramètres!$B$7),10,1),Paiements!$B:$B,"&lt;"&amp;EDATE(DATE(YEAR(Paramètres!$B$7),10,1),1))</f>
        <v>0</v>
      </c>
      <c r="L7" s="5">
        <f>SUMIFS(Paiements!$I:$I,Paiements!$B:$B,"&gt;="&amp;DATE(YEAR(Paramètres!$B$7),11,1),Paiements!$B:$B,"&lt;"&amp;EDATE(DATE(YEAR(Paramètres!$B$7),11,1),1))</f>
        <v>0</v>
      </c>
      <c r="M7" s="5">
        <f>SUMIFS(Paiements!$I:$I,Paiements!$B:$B,"&gt;="&amp;DATE(YEAR(Paramètres!$B$7),12,1),Paiements!$B:$B,"&lt;"&amp;EDATE(DATE(YEAR(Paramètres!$B$7),12,1),1))</f>
        <v>0</v>
      </c>
      <c r="N7" s="5">
        <f t="shared" si="0"/>
        <v>0</v>
      </c>
    </row>
    <row r="8" spans="1:14">
      <c r="A8" t="s">
        <v>941</v>
      </c>
      <c r="B8" s="5">
        <f>SUMIFS(Paiements!$J:$J,Paiements!$B:$B,"&gt;="&amp;DATE(YEAR(Paramètres!$B$7),1,1),Paiements!$B:$B,"&lt;"&amp;EDATE(DATE(YEAR(Paramètres!$B$7),1,1),1))</f>
        <v>0</v>
      </c>
      <c r="C8" s="5">
        <f>SUMIFS(Paiements!$J:$J,Paiements!$B:$B,"&gt;="&amp;DATE(YEAR(Paramètres!$B$7),2,1),Paiements!$B:$B,"&lt;"&amp;EDATE(DATE(YEAR(Paramètres!$B$7),2,1),1))</f>
        <v>0</v>
      </c>
      <c r="D8" s="5">
        <f>SUMIFS(Paiements!$J:$J,Paiements!$B:$B,"&gt;="&amp;DATE(YEAR(Paramètres!$B$7),3,1),Paiements!$B:$B,"&lt;"&amp;EDATE(DATE(YEAR(Paramètres!$B$7),3,1),1))</f>
        <v>0</v>
      </c>
      <c r="E8" s="5">
        <f>SUMIFS(Paiements!$J:$J,Paiements!$B:$B,"&gt;="&amp;DATE(YEAR(Paramètres!$B$7),4,1),Paiements!$B:$B,"&lt;"&amp;EDATE(DATE(YEAR(Paramètres!$B$7),4,1),1))</f>
        <v>0</v>
      </c>
      <c r="F8" s="5">
        <f>SUMIFS(Paiements!$J:$J,Paiements!$B:$B,"&gt;="&amp;DATE(YEAR(Paramètres!$B$7),5,1),Paiements!$B:$B,"&lt;"&amp;EDATE(DATE(YEAR(Paramètres!$B$7),5,1),1))</f>
        <v>0</v>
      </c>
      <c r="G8" s="5">
        <f>SUMIFS(Paiements!$J:$J,Paiements!$B:$B,"&gt;="&amp;DATE(YEAR(Paramètres!$B$7),6,1),Paiements!$B:$B,"&lt;"&amp;EDATE(DATE(YEAR(Paramètres!$B$7),6,1),1))</f>
        <v>0</v>
      </c>
      <c r="H8" s="5">
        <f>SUMIFS(Paiements!$J:$J,Paiements!$B:$B,"&gt;="&amp;DATE(YEAR(Paramètres!$B$7),7,1),Paiements!$B:$B,"&lt;"&amp;EDATE(DATE(YEAR(Paramètres!$B$7),7,1),1))</f>
        <v>0</v>
      </c>
      <c r="I8" s="5">
        <f>SUMIFS(Paiements!$J:$J,Paiements!$B:$B,"&gt;="&amp;DATE(YEAR(Paramètres!$B$7),8,1),Paiements!$B:$B,"&lt;"&amp;EDATE(DATE(YEAR(Paramètres!$B$7),8,1),1))</f>
        <v>0</v>
      </c>
      <c r="J8" s="5">
        <f>SUMIFS(Paiements!$J:$J,Paiements!$B:$B,"&gt;="&amp;DATE(YEAR(Paramètres!$B$7),9,1),Paiements!$B:$B,"&lt;"&amp;EDATE(DATE(YEAR(Paramètres!$B$7),9,1),1))</f>
        <v>0</v>
      </c>
      <c r="K8" s="5">
        <f>SUMIFS(Paiements!$J:$J,Paiements!$B:$B,"&gt;="&amp;DATE(YEAR(Paramètres!$B$7),10,1),Paiements!$B:$B,"&lt;"&amp;EDATE(DATE(YEAR(Paramètres!$B$7),10,1),1))</f>
        <v>0</v>
      </c>
      <c r="L8" s="5">
        <f>SUMIFS(Paiements!$J:$J,Paiements!$B:$B,"&gt;="&amp;DATE(YEAR(Paramètres!$B$7),11,1),Paiements!$B:$B,"&lt;"&amp;EDATE(DATE(YEAR(Paramètres!$B$7),11,1),1))</f>
        <v>0</v>
      </c>
      <c r="M8" s="5">
        <f>SUMIFS(Paiements!$J:$J,Paiements!$B:$B,"&gt;="&amp;DATE(YEAR(Paramètres!$B$7),12,1),Paiements!$B:$B,"&lt;"&amp;EDATE(DATE(YEAR(Paramètres!$B$7),12,1),1))</f>
        <v>0</v>
      </c>
      <c r="N8" s="5">
        <f t="shared" si="0"/>
        <v>0</v>
      </c>
    </row>
    <row r="9" spans="1:14">
      <c r="A9" t="s">
        <v>942</v>
      </c>
      <c r="B9" s="5">
        <f>B7-B8</f>
        <v>0</v>
      </c>
      <c r="C9" s="5">
        <f t="shared" ref="B9:M9" si="1">C7-C8</f>
        <v>0</v>
      </c>
      <c r="D9" s="5">
        <f t="shared" si="1"/>
        <v>0</v>
      </c>
      <c r="E9" s="5">
        <f t="shared" si="1"/>
        <v>0</v>
      </c>
      <c r="F9" s="5">
        <f t="shared" si="1"/>
        <v>0</v>
      </c>
      <c r="G9" s="5">
        <f t="shared" si="1"/>
        <v>0</v>
      </c>
      <c r="H9" s="5">
        <f t="shared" si="1"/>
        <v>0</v>
      </c>
      <c r="I9" s="5">
        <f t="shared" si="1"/>
        <v>0</v>
      </c>
      <c r="J9" s="5">
        <f t="shared" si="1"/>
        <v>0</v>
      </c>
      <c r="K9" s="5">
        <f t="shared" si="1"/>
        <v>0</v>
      </c>
      <c r="L9" s="5">
        <f t="shared" si="1"/>
        <v>0</v>
      </c>
      <c r="M9" s="5">
        <f t="shared" si="1"/>
        <v>0</v>
      </c>
      <c r="N9" s="5">
        <f t="shared" si="0"/>
        <v>0</v>
      </c>
    </row>
    <row r="10" spans="1:14">
      <c r="A10" t="s">
        <v>943</v>
      </c>
      <c r="B10">
        <f>COUNTIFS(Réclamations!$B:$B,"&gt;="&amp;DATE(YEAR(Paramètres!$B$7),1,1),Réclamations!$B:$B,"&lt;"&amp;EDATE(DATE(YEAR(Paramètres!$B$7),1,1),1))</f>
        <v>0</v>
      </c>
      <c r="C10">
        <f>COUNTIFS(Réclamations!$B:$B,"&gt;="&amp;DATE(YEAR(Paramètres!$B$7),2,1),Réclamations!$B:$B,"&lt;"&amp;EDATE(DATE(YEAR(Paramètres!$B$7),2,1),1))</f>
        <v>0</v>
      </c>
      <c r="D10">
        <f>COUNTIFS(Réclamations!$B:$B,"&gt;="&amp;DATE(YEAR(Paramètres!$B$7),3,1),Réclamations!$B:$B,"&lt;"&amp;EDATE(DATE(YEAR(Paramètres!$B$7),3,1),1))</f>
        <v>0</v>
      </c>
      <c r="E10">
        <f>COUNTIFS(Réclamations!$B:$B,"&gt;="&amp;DATE(YEAR(Paramètres!$B$7),4,1),Réclamations!$B:$B,"&lt;"&amp;EDATE(DATE(YEAR(Paramètres!$B$7),4,1),1))</f>
        <v>0</v>
      </c>
      <c r="F10">
        <f>COUNTIFS(Réclamations!$B:$B,"&gt;="&amp;DATE(YEAR(Paramètres!$B$7),5,1),Réclamations!$B:$B,"&lt;"&amp;EDATE(DATE(YEAR(Paramètres!$B$7),5,1),1))</f>
        <v>0</v>
      </c>
      <c r="G10">
        <f>COUNTIFS(Réclamations!$B:$B,"&gt;="&amp;DATE(YEAR(Paramètres!$B$7),6,1),Réclamations!$B:$B,"&lt;"&amp;EDATE(DATE(YEAR(Paramètres!$B$7),6,1),1))</f>
        <v>0</v>
      </c>
      <c r="H10">
        <f>COUNTIFS(Réclamations!$B:$B,"&gt;="&amp;DATE(YEAR(Paramètres!$B$7),7,1),Réclamations!$B:$B,"&lt;"&amp;EDATE(DATE(YEAR(Paramètres!$B$7),7,1),1))</f>
        <v>0</v>
      </c>
      <c r="I10">
        <f>COUNTIFS(Réclamations!$B:$B,"&gt;="&amp;DATE(YEAR(Paramètres!$B$7),8,1),Réclamations!$B:$B,"&lt;"&amp;EDATE(DATE(YEAR(Paramètres!$B$7),8,1),1))</f>
        <v>0</v>
      </c>
      <c r="J10">
        <f>COUNTIFS(Réclamations!$B:$B,"&gt;="&amp;DATE(YEAR(Paramètres!$B$7),9,1),Réclamations!$B:$B,"&lt;"&amp;EDATE(DATE(YEAR(Paramètres!$B$7),9,1),1))</f>
        <v>0</v>
      </c>
      <c r="K10">
        <f>COUNTIFS(Réclamations!$B:$B,"&gt;="&amp;DATE(YEAR(Paramètres!$B$7),10,1),Réclamations!$B:$B,"&lt;"&amp;EDATE(DATE(YEAR(Paramètres!$B$7),10,1),1))</f>
        <v>0</v>
      </c>
      <c r="L10">
        <f>COUNTIFS(Réclamations!$B:$B,"&gt;="&amp;DATE(YEAR(Paramètres!$B$7),11,1),Réclamations!$B:$B,"&lt;"&amp;EDATE(DATE(YEAR(Paramètres!$B$7),11,1),1))</f>
        <v>0</v>
      </c>
      <c r="M10">
        <f>COUNTIFS(Réclamations!$B:$B,"&gt;="&amp;DATE(YEAR(Paramètres!$B$7),12,1),Réclamations!$B:$B,"&lt;"&amp;EDATE(DATE(YEAR(Paramètres!$B$7),12,1),1))</f>
        <v>0</v>
      </c>
      <c r="N10">
        <f t="shared" si="0"/>
        <v>0</v>
      </c>
    </row>
    <row r="11" spans="1:14">
      <c r="A11" t="s">
        <v>944</v>
      </c>
      <c r="B11">
        <f>COUNTIFS(Réclamations!$B:$B,"&gt;="&amp;DATE(YEAR(Paramètres!$B$7),1,1),Réclamations!$B:$B,"&lt;"&amp;EDATE(DATE(YEAR(Paramètres!$B$7),1,1),1),Réclamations!$M:$M,"Clôturée")</f>
        <v>0</v>
      </c>
      <c r="C11">
        <f>COUNTIFS(Réclamations!$B:$B,"&gt;="&amp;DATE(YEAR(Paramètres!$B$7),2,1),Réclamations!$B:$B,"&lt;"&amp;EDATE(DATE(YEAR(Paramètres!$B$7),2,1),1),Réclamations!$M:$M,"Clôturée")</f>
        <v>0</v>
      </c>
      <c r="D11">
        <f>COUNTIFS(Réclamations!$B:$B,"&gt;="&amp;DATE(YEAR(Paramètres!$B$7),3,1),Réclamations!$B:$B,"&lt;"&amp;EDATE(DATE(YEAR(Paramètres!$B$7),3,1),1),Réclamations!$M:$M,"Clôturée")</f>
        <v>0</v>
      </c>
      <c r="E11">
        <f>COUNTIFS(Réclamations!$B:$B,"&gt;="&amp;DATE(YEAR(Paramètres!$B$7),4,1),Réclamations!$B:$B,"&lt;"&amp;EDATE(DATE(YEAR(Paramètres!$B$7),4,1),1),Réclamations!$M:$M,"Clôturée")</f>
        <v>0</v>
      </c>
      <c r="F11">
        <f>COUNTIFS(Réclamations!$B:$B,"&gt;="&amp;DATE(YEAR(Paramètres!$B$7),5,1),Réclamations!$B:$B,"&lt;"&amp;EDATE(DATE(YEAR(Paramètres!$B$7),5,1),1),Réclamations!$M:$M,"Clôturée")</f>
        <v>0</v>
      </c>
      <c r="G11">
        <f>COUNTIFS(Réclamations!$B:$B,"&gt;="&amp;DATE(YEAR(Paramètres!$B$7),6,1),Réclamations!$B:$B,"&lt;"&amp;EDATE(DATE(YEAR(Paramètres!$B$7),6,1),1),Réclamations!$M:$M,"Clôturée")</f>
        <v>0</v>
      </c>
      <c r="H11">
        <f>COUNTIFS(Réclamations!$B:$B,"&gt;="&amp;DATE(YEAR(Paramètres!$B$7),7,1),Réclamations!$B:$B,"&lt;"&amp;EDATE(DATE(YEAR(Paramètres!$B$7),7,1),1),Réclamations!$M:$M,"Clôturée")</f>
        <v>0</v>
      </c>
      <c r="I11">
        <f>COUNTIFS(Réclamations!$B:$B,"&gt;="&amp;DATE(YEAR(Paramètres!$B$7),8,1),Réclamations!$B:$B,"&lt;"&amp;EDATE(DATE(YEAR(Paramètres!$B$7),8,1),1),Réclamations!$M:$M,"Clôturée")</f>
        <v>0</v>
      </c>
      <c r="J11">
        <f>COUNTIFS(Réclamations!$B:$B,"&gt;="&amp;DATE(YEAR(Paramètres!$B$7),9,1),Réclamations!$B:$B,"&lt;"&amp;EDATE(DATE(YEAR(Paramètres!$B$7),9,1),1),Réclamations!$M:$M,"Clôturée")</f>
        <v>0</v>
      </c>
      <c r="K11">
        <f>COUNTIFS(Réclamations!$B:$B,"&gt;="&amp;DATE(YEAR(Paramètres!$B$7),10,1),Réclamations!$B:$B,"&lt;"&amp;EDATE(DATE(YEAR(Paramètres!$B$7),10,1),1),Réclamations!$M:$M,"Clôturée")</f>
        <v>0</v>
      </c>
      <c r="L11">
        <f>COUNTIFS(Réclamations!$B:$B,"&gt;="&amp;DATE(YEAR(Paramètres!$B$7),11,1),Réclamations!$B:$B,"&lt;"&amp;EDATE(DATE(YEAR(Paramètres!$B$7),11,1),1),Réclamations!$M:$M,"Clôturée")</f>
        <v>0</v>
      </c>
      <c r="M11">
        <f>COUNTIFS(Réclamations!$B:$B,"&gt;="&amp;DATE(YEAR(Paramètres!$B$7),12,1),Réclamations!$B:$B,"&lt;"&amp;EDATE(DATE(YEAR(Paramètres!$B$7),12,1),1),Réclamations!$M:$M,"Clôturée")</f>
        <v>0</v>
      </c>
      <c r="N11">
        <f t="shared" si="0"/>
        <v>0</v>
      </c>
    </row>
    <row r="12" spans="1:14">
      <c r="A12" t="s">
        <v>945</v>
      </c>
      <c r="B12">
        <f>COUNTIFS(Incidents!$B:$B,"&gt;="&amp;DATE(YEAR(Paramètres!$B$7),1,1),Incidents!$B:$B,"&lt;"&amp;EDATE(DATE(YEAR(Paramètres!$B$7),1,1),1),Incidents!$H:$H,"Mineur")</f>
        <v>0</v>
      </c>
      <c r="C12">
        <f>COUNTIFS(Incidents!$B:$B,"&gt;="&amp;DATE(YEAR(Paramètres!$B$7),2,1),Incidents!$B:$B,"&lt;"&amp;EDATE(DATE(YEAR(Paramètres!$B$7),2,1),1),Incidents!$H:$H,"Mineur")</f>
        <v>0</v>
      </c>
      <c r="D12">
        <f>COUNTIFS(Incidents!$B:$B,"&gt;="&amp;DATE(YEAR(Paramètres!$B$7),3,1),Incidents!$B:$B,"&lt;"&amp;EDATE(DATE(YEAR(Paramètres!$B$7),3,1),1),Incidents!$H:$H,"Mineur")</f>
        <v>0</v>
      </c>
      <c r="E12">
        <f>COUNTIFS(Incidents!$B:$B,"&gt;="&amp;DATE(YEAR(Paramètres!$B$7),4,1),Incidents!$B:$B,"&lt;"&amp;EDATE(DATE(YEAR(Paramètres!$B$7),4,1),1),Incidents!$H:$H,"Mineur")</f>
        <v>0</v>
      </c>
      <c r="F12">
        <f>COUNTIFS(Incidents!$B:$B,"&gt;="&amp;DATE(YEAR(Paramètres!$B$7),5,1),Incidents!$B:$B,"&lt;"&amp;EDATE(DATE(YEAR(Paramètres!$B$7),5,1),1),Incidents!$H:$H,"Mineur")</f>
        <v>0</v>
      </c>
      <c r="G12">
        <f>COUNTIFS(Incidents!$B:$B,"&gt;="&amp;DATE(YEAR(Paramètres!$B$7),6,1),Incidents!$B:$B,"&lt;"&amp;EDATE(DATE(YEAR(Paramètres!$B$7),6,1),1),Incidents!$H:$H,"Mineur")</f>
        <v>0</v>
      </c>
      <c r="H12">
        <f>COUNTIFS(Incidents!$B:$B,"&gt;="&amp;DATE(YEAR(Paramètres!$B$7),7,1),Incidents!$B:$B,"&lt;"&amp;EDATE(DATE(YEAR(Paramètres!$B$7),7,1),1),Incidents!$H:$H,"Mineur")</f>
        <v>0</v>
      </c>
      <c r="I12">
        <f>COUNTIFS(Incidents!$B:$B,"&gt;="&amp;DATE(YEAR(Paramètres!$B$7),8,1),Incidents!$B:$B,"&lt;"&amp;EDATE(DATE(YEAR(Paramètres!$B$7),8,1),1),Incidents!$H:$H,"Mineur")</f>
        <v>0</v>
      </c>
      <c r="J12">
        <f>COUNTIFS(Incidents!$B:$B,"&gt;="&amp;DATE(YEAR(Paramètres!$B$7),9,1),Incidents!$B:$B,"&lt;"&amp;EDATE(DATE(YEAR(Paramètres!$B$7),9,1),1),Incidents!$H:$H,"Mineur")</f>
        <v>0</v>
      </c>
      <c r="K12">
        <f>COUNTIFS(Incidents!$B:$B,"&gt;="&amp;DATE(YEAR(Paramètres!$B$7),10,1),Incidents!$B:$B,"&lt;"&amp;EDATE(DATE(YEAR(Paramètres!$B$7),10,1),1),Incidents!$H:$H,"Mineur")</f>
        <v>0</v>
      </c>
      <c r="L12">
        <f>COUNTIFS(Incidents!$B:$B,"&gt;="&amp;DATE(YEAR(Paramètres!$B$7),11,1),Incidents!$B:$B,"&lt;"&amp;EDATE(DATE(YEAR(Paramètres!$B$7),11,1),1),Incidents!$H:$H,"Mineur")</f>
        <v>0</v>
      </c>
      <c r="M12">
        <f>COUNTIFS(Incidents!$B:$B,"&gt;="&amp;DATE(YEAR(Paramètres!$B$7),12,1),Incidents!$B:$B,"&lt;"&amp;EDATE(DATE(YEAR(Paramètres!$B$7),12,1),1),Incidents!$H:$H,"Mineur")</f>
        <v>0</v>
      </c>
      <c r="N12">
        <f t="shared" si="0"/>
        <v>0</v>
      </c>
    </row>
    <row r="13" spans="1:14">
      <c r="A13" t="s">
        <v>946</v>
      </c>
      <c r="B13">
        <f>COUNTIFS(Incidents!$B:$B,"&gt;="&amp;DATE(YEAR(Paramètres!$B$7),1,1),Incidents!$B:$B,"&lt;"&amp;EDATE(DATE(YEAR(Paramètres!$B$7),1,1),1),Incidents!$H:$H,"Significatif")</f>
        <v>0</v>
      </c>
      <c r="C13">
        <f>COUNTIFS(Incidents!$B:$B,"&gt;="&amp;DATE(YEAR(Paramètres!$B$7),2,1),Incidents!$B:$B,"&lt;"&amp;EDATE(DATE(YEAR(Paramètres!$B$7),2,1),1),Incidents!$H:$H,"Significatif")</f>
        <v>0</v>
      </c>
      <c r="D13">
        <f>COUNTIFS(Incidents!$B:$B,"&gt;="&amp;DATE(YEAR(Paramètres!$B$7),3,1),Incidents!$B:$B,"&lt;"&amp;EDATE(DATE(YEAR(Paramètres!$B$7),3,1),1),Incidents!$H:$H,"Significatif")</f>
        <v>0</v>
      </c>
      <c r="E13">
        <f>COUNTIFS(Incidents!$B:$B,"&gt;="&amp;DATE(YEAR(Paramètres!$B$7),4,1),Incidents!$B:$B,"&lt;"&amp;EDATE(DATE(YEAR(Paramètres!$B$7),4,1),1),Incidents!$H:$H,"Significatif")</f>
        <v>0</v>
      </c>
      <c r="F13">
        <f>COUNTIFS(Incidents!$B:$B,"&gt;="&amp;DATE(YEAR(Paramètres!$B$7),5,1),Incidents!$B:$B,"&lt;"&amp;EDATE(DATE(YEAR(Paramètres!$B$7),5,1),1),Incidents!$H:$H,"Significatif")</f>
        <v>0</v>
      </c>
      <c r="G13">
        <f>COUNTIFS(Incidents!$B:$B,"&gt;="&amp;DATE(YEAR(Paramètres!$B$7),6,1),Incidents!$B:$B,"&lt;"&amp;EDATE(DATE(YEAR(Paramètres!$B$7),6,1),1),Incidents!$H:$H,"Significatif")</f>
        <v>0</v>
      </c>
      <c r="H13">
        <f>COUNTIFS(Incidents!$B:$B,"&gt;="&amp;DATE(YEAR(Paramètres!$B$7),7,1),Incidents!$B:$B,"&lt;"&amp;EDATE(DATE(YEAR(Paramètres!$B$7),7,1),1),Incidents!$H:$H,"Significatif")</f>
        <v>0</v>
      </c>
      <c r="I13">
        <f>COUNTIFS(Incidents!$B:$B,"&gt;="&amp;DATE(YEAR(Paramètres!$B$7),8,1),Incidents!$B:$B,"&lt;"&amp;EDATE(DATE(YEAR(Paramètres!$B$7),8,1),1),Incidents!$H:$H,"Significatif")</f>
        <v>0</v>
      </c>
      <c r="J13">
        <f>COUNTIFS(Incidents!$B:$B,"&gt;="&amp;DATE(YEAR(Paramètres!$B$7),9,1),Incidents!$B:$B,"&lt;"&amp;EDATE(DATE(YEAR(Paramètres!$B$7),9,1),1),Incidents!$H:$H,"Significatif")</f>
        <v>0</v>
      </c>
      <c r="K13">
        <f>COUNTIFS(Incidents!$B:$B,"&gt;="&amp;DATE(YEAR(Paramètres!$B$7),10,1),Incidents!$B:$B,"&lt;"&amp;EDATE(DATE(YEAR(Paramètres!$B$7),10,1),1),Incidents!$H:$H,"Significatif")</f>
        <v>0</v>
      </c>
      <c r="L13">
        <f>COUNTIFS(Incidents!$B:$B,"&gt;="&amp;DATE(YEAR(Paramètres!$B$7),11,1),Incidents!$B:$B,"&lt;"&amp;EDATE(DATE(YEAR(Paramètres!$B$7),11,1),1),Incidents!$H:$H,"Significatif")</f>
        <v>0</v>
      </c>
      <c r="M13">
        <f>COUNTIFS(Incidents!$B:$B,"&gt;="&amp;DATE(YEAR(Paramètres!$B$7),12,1),Incidents!$B:$B,"&lt;"&amp;EDATE(DATE(YEAR(Paramètres!$B$7),12,1),1),Incidents!$H:$H,"Significatif")</f>
        <v>0</v>
      </c>
      <c r="N13">
        <f t="shared" si="0"/>
        <v>0</v>
      </c>
    </row>
    <row r="14" spans="1:14">
      <c r="A14" t="s">
        <v>947</v>
      </c>
      <c r="B14">
        <f>COUNTIFS(Incidents!$B:$B,"&gt;="&amp;DATE(YEAR(Paramètres!$B$7),1,1),Incidents!$B:$B,"&lt;"&amp;EDATE(DATE(YEAR(Paramètres!$B$7),1,1),1),Incidents!$H:$H,"Grave")</f>
        <v>0</v>
      </c>
      <c r="C14">
        <f>COUNTIFS(Incidents!$B:$B,"&gt;="&amp;DATE(YEAR(Paramètres!$B$7),2,1),Incidents!$B:$B,"&lt;"&amp;EDATE(DATE(YEAR(Paramètres!$B$7),2,1),1),Incidents!$H:$H,"Grave")</f>
        <v>0</v>
      </c>
      <c r="D14">
        <f>COUNTIFS(Incidents!$B:$B,"&gt;="&amp;DATE(YEAR(Paramètres!$B$7),3,1),Incidents!$B:$B,"&lt;"&amp;EDATE(DATE(YEAR(Paramètres!$B$7),3,1),1),Incidents!$H:$H,"Grave")</f>
        <v>0</v>
      </c>
      <c r="E14">
        <f>COUNTIFS(Incidents!$B:$B,"&gt;="&amp;DATE(YEAR(Paramètres!$B$7),4,1),Incidents!$B:$B,"&lt;"&amp;EDATE(DATE(YEAR(Paramètres!$B$7),4,1),1),Incidents!$H:$H,"Grave")</f>
        <v>0</v>
      </c>
      <c r="F14">
        <f>COUNTIFS(Incidents!$B:$B,"&gt;="&amp;DATE(YEAR(Paramètres!$B$7),5,1),Incidents!$B:$B,"&lt;"&amp;EDATE(DATE(YEAR(Paramètres!$B$7),5,1),1),Incidents!$H:$H,"Grave")</f>
        <v>0</v>
      </c>
      <c r="G14">
        <f>COUNTIFS(Incidents!$B:$B,"&gt;="&amp;DATE(YEAR(Paramètres!$B$7),6,1),Incidents!$B:$B,"&lt;"&amp;EDATE(DATE(YEAR(Paramètres!$B$7),6,1),1),Incidents!$H:$H,"Grave")</f>
        <v>0</v>
      </c>
      <c r="H14">
        <f>COUNTIFS(Incidents!$B:$B,"&gt;="&amp;DATE(YEAR(Paramètres!$B$7),7,1),Incidents!$B:$B,"&lt;"&amp;EDATE(DATE(YEAR(Paramètres!$B$7),7,1),1),Incidents!$H:$H,"Grave")</f>
        <v>0</v>
      </c>
      <c r="I14">
        <f>COUNTIFS(Incidents!$B:$B,"&gt;="&amp;DATE(YEAR(Paramètres!$B$7),8,1),Incidents!$B:$B,"&lt;"&amp;EDATE(DATE(YEAR(Paramètres!$B$7),8,1),1),Incidents!$H:$H,"Grave")</f>
        <v>0</v>
      </c>
      <c r="J14">
        <f>COUNTIFS(Incidents!$B:$B,"&gt;="&amp;DATE(YEAR(Paramètres!$B$7),9,1),Incidents!$B:$B,"&lt;"&amp;EDATE(DATE(YEAR(Paramètres!$B$7),9,1),1),Incidents!$H:$H,"Grave")</f>
        <v>0</v>
      </c>
      <c r="K14">
        <f>COUNTIFS(Incidents!$B:$B,"&gt;="&amp;DATE(YEAR(Paramètres!$B$7),10,1),Incidents!$B:$B,"&lt;"&amp;EDATE(DATE(YEAR(Paramètres!$B$7),10,1),1),Incidents!$H:$H,"Grave")</f>
        <v>0</v>
      </c>
      <c r="L14">
        <f>COUNTIFS(Incidents!$B:$B,"&gt;="&amp;DATE(YEAR(Paramètres!$B$7),11,1),Incidents!$B:$B,"&lt;"&amp;EDATE(DATE(YEAR(Paramètres!$B$7),11,1),1),Incidents!$H:$H,"Grave")</f>
        <v>0</v>
      </c>
      <c r="M14">
        <f>COUNTIFS(Incidents!$B:$B,"&gt;="&amp;DATE(YEAR(Paramètres!$B$7),12,1),Incidents!$B:$B,"&lt;"&amp;EDATE(DATE(YEAR(Paramètres!$B$7),12,1),1),Incidents!$H:$H,"Grave")</f>
        <v>0</v>
      </c>
      <c r="N14">
        <f t="shared" si="0"/>
        <v>0</v>
      </c>
    </row>
    <row r="15" spans="1:14">
      <c r="A15" t="s">
        <v>948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2" t="str">
        <f>IFERROR(AVERAGE(B15:M15),"")</f>
        <v/>
      </c>
    </row>
    <row r="16" spans="1:14">
      <c r="A16" t="s">
        <v>949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2" t="str">
        <f>IFERROR(AVERAGE(B16:M16),"")</f>
        <v/>
      </c>
    </row>
    <row r="17" spans="1:14">
      <c r="A17" t="s">
        <v>950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t="str">
        <f>COUNTIF(B17:M17,"Oui")&amp;" / 12"</f>
        <v>0 / 12</v>
      </c>
    </row>
    <row r="20" spans="1:14" ht="27.95" customHeight="1">
      <c r="A20" s="13" t="s">
        <v>951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2" spans="1:14" ht="32.1" customHeight="1">
      <c r="A22" s="1" t="s">
        <v>952</v>
      </c>
      <c r="B22" s="1" t="s">
        <v>3</v>
      </c>
      <c r="C22" s="1" t="s">
        <v>953</v>
      </c>
      <c r="D22" s="1" t="s">
        <v>954</v>
      </c>
    </row>
    <row r="23" spans="1:14" ht="28.5">
      <c r="A23" s="11" t="s">
        <v>955</v>
      </c>
      <c r="B23" s="12">
        <f>N7</f>
        <v>0</v>
      </c>
      <c r="C23" s="11" t="s">
        <v>956</v>
      </c>
      <c r="D23" s="11"/>
    </row>
    <row r="24" spans="1:14" ht="28.5">
      <c r="A24" s="11" t="s">
        <v>957</v>
      </c>
      <c r="B24" s="12">
        <f>N9</f>
        <v>0</v>
      </c>
      <c r="C24" s="11" t="s">
        <v>958</v>
      </c>
      <c r="D24" s="11"/>
    </row>
    <row r="25" spans="1:14" ht="28.5">
      <c r="A25" s="11" t="s">
        <v>959</v>
      </c>
      <c r="B25" s="12">
        <f>COUNTIF(Réclamations!$M:$M,"&lt;&gt;Clôturée")-1</f>
        <v>1048575</v>
      </c>
      <c r="C25" s="11" t="s">
        <v>960</v>
      </c>
      <c r="D25" s="11"/>
    </row>
    <row r="26" spans="1:14">
      <c r="A26" s="11" t="s">
        <v>947</v>
      </c>
      <c r="B26" s="12">
        <f>N14</f>
        <v>0</v>
      </c>
      <c r="C26" s="11" t="s">
        <v>961</v>
      </c>
      <c r="D26" s="11"/>
    </row>
  </sheetData>
  <mergeCells count="3">
    <mergeCell ref="A1:N1"/>
    <mergeCell ref="A2:N2"/>
    <mergeCell ref="A20:N20"/>
  </mergeCells>
  <conditionalFormatting sqref="B26">
    <cfRule type="cellIs" dxfId="0" priority="1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800-000000000000}">
          <x14:formula1>
            <xm:f>Paramètres!$H$14:$H$15</xm:f>
          </x14:formula1>
          <xm:sqref>B17:M17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Paramètres</vt:lpstr>
      <vt:lpstr>Réservations</vt:lpstr>
      <vt:lpstr>Contrôle bateau</vt:lpstr>
      <vt:lpstr>Incidents</vt:lpstr>
      <vt:lpstr>Réclamations</vt:lpstr>
      <vt:lpstr>Paiements</vt:lpstr>
      <vt:lpstr>Partenaires</vt:lpstr>
      <vt:lpstr>Assurances</vt:lpstr>
      <vt:lpstr>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SARR Macoumba</cp:lastModifiedBy>
  <dcterms:modified xsi:type="dcterms:W3CDTF">2026-06-08T14:21:43Z</dcterms:modified>
</cp:coreProperties>
</file>